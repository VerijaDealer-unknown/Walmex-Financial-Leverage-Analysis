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a\Downloads\"/>
    </mc:Choice>
  </mc:AlternateContent>
  <xr:revisionPtr revIDLastSave="0" documentId="13_ncr:1_{B95803F8-B4F1-4B58-B0CA-7440356BDB2E}" xr6:coauthVersionLast="47" xr6:coauthVersionMax="47" xr10:uidLastSave="{00000000-0000-0000-0000-000000000000}"/>
  <bookViews>
    <workbookView xWindow="-120" yWindow="-120" windowWidth="29040" windowHeight="15990" activeTab="3" xr2:uid="{BB3FA826-48E7-4075-A8C1-3E9F0FE83545}"/>
  </bookViews>
  <sheets>
    <sheet name="balance_sheet" sheetId="1" r:id="rId1"/>
    <sheet name="income_statement" sheetId="2" r:id="rId2"/>
    <sheet name="Trends" sheetId="4" r:id="rId3"/>
    <sheet name="P&amp;L" sheetId="5" r:id="rId4"/>
    <sheet name="Balance" sheetId="6" r:id="rId5"/>
    <sheet name="ROEROA" sheetId="7" r:id="rId6"/>
    <sheet name="DEBT" sheetId="8" r:id="rId7"/>
  </sheets>
  <definedNames>
    <definedName name="_xlnm._FilterDatabase" localSheetId="0" hidden="1">balance_sheet!$C$2:$F$70</definedName>
    <definedName name="_xlnm._FilterDatabase" localSheetId="1" hidden="1">income_statement!$C$2:$F$46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E6" i="4"/>
  <c r="F6" i="4"/>
  <c r="D7" i="4"/>
  <c r="E7" i="4"/>
  <c r="F7" i="4"/>
  <c r="D5" i="4"/>
  <c r="E5" i="4"/>
  <c r="F5" i="4"/>
  <c r="C5" i="4"/>
  <c r="C6" i="4"/>
  <c r="C7" i="4"/>
  <c r="D4" i="4"/>
  <c r="E4" i="4"/>
  <c r="F4" i="4"/>
  <c r="C4" i="4"/>
  <c r="J5" i="4"/>
  <c r="K5" i="4"/>
  <c r="L5" i="4"/>
  <c r="J6" i="4"/>
  <c r="K6" i="4"/>
  <c r="L6" i="4"/>
  <c r="I5" i="4"/>
  <c r="I6" i="4"/>
  <c r="I4" i="4"/>
  <c r="J4" i="4"/>
  <c r="K4" i="4"/>
  <c r="L4" i="4"/>
  <c r="H13" i="1"/>
  <c r="H12" i="1"/>
  <c r="I10" i="4" l="1"/>
  <c r="C13" i="4"/>
  <c r="L13" i="4"/>
  <c r="K10" i="4"/>
  <c r="J13" i="4"/>
  <c r="I13" i="4"/>
  <c r="L10" i="4"/>
  <c r="C16" i="4"/>
  <c r="J10" i="4"/>
  <c r="F13" i="4"/>
  <c r="E16" i="4"/>
  <c r="K13" i="4"/>
  <c r="D16" i="4"/>
  <c r="F10" i="4"/>
  <c r="E10" i="4"/>
  <c r="D10" i="4"/>
  <c r="C10" i="4"/>
  <c r="D13" i="4"/>
  <c r="E13" i="4"/>
  <c r="F16" i="4"/>
</calcChain>
</file>

<file path=xl/sharedStrings.xml><?xml version="1.0" encoding="utf-8"?>
<sst xmlns="http://schemas.openxmlformats.org/spreadsheetml/2006/main" count="151" uniqueCount="130">
  <si>
    <t>Ordinary Shares Number</t>
  </si>
  <si>
    <t>Share Issued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</si>
  <si>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</si>
  <si>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</si>
  <si>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</si>
  <si>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</si>
  <si>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</si>
  <si>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</si>
  <si>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</si>
  <si>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</si>
  <si>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</si>
  <si>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Stockholders Equity</t>
  </si>
  <si>
    <t>Other Equity Interest</t>
  </si>
  <si>
    <t>Retained Earnings</t>
  </si>
  <si>
    <t>Additional Paid In Capital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</si>
  <si>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</si>
  <si>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</si>
  <si>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</si>
  <si>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</si>
  <si>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</si>
  <si>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Non Current Pension And Other Postretirement Benefit Plans</t>
  </si>
  <si>
    <t>Tradeand Other Payables Non Current</t>
  </si>
  <si>
    <t>Non Current Deferred Revenue</t>
  </si>
  <si>
    <t>Non Current Deferred Taxes Liabilities</t>
  </si>
  <si>
    <t>Long Term Debt And Capital Lease Obligation</t>
  </si>
  <si>
    <t>Long Term Capital Lease Obligation</t>
  </si>
  <si>
    <t>Current Liabilities</t>
  </si>
  <si>
    <t>Current Debt And Capital Lease Obligation</t>
  </si>
  <si>
    <t>Current Capital Lease Obligation</t>
  </si>
  <si>
    <t>Current Provisions</t>
  </si>
  <si>
    <t>Payables</t>
  </si>
  <si>
    <t>Other Payable</t>
  </si>
  <si>
    <t>Dividends Payable</t>
  </si>
  <si>
    <t>Total Tax Payable</t>
  </si>
  <si>
    <t>Accounts Payable</t>
  </si>
  <si>
    <t>Total Assets</t>
  </si>
  <si>
    <t>Total Non Current Assets</t>
  </si>
  <si>
    <t>Other Non Current Assets</t>
  </si>
  <si>
    <t>Non Current Deferred Taxes Assets</t>
  </si>
  <si>
    <t>Investmentin Financial Assets</t>
  </si>
  <si>
    <t>Available For Sale Securities</t>
  </si>
  <si>
    <t>Investment Properties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</si>
  <si>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</si>
  <si>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</si>
  <si>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</si>
  <si>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</si>
  <si>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</si>
  <si>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</si>
  <si>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Construction In Progress</t>
  </si>
  <si>
    <t>Other Properties</t>
  </si>
  <si>
    <t>Machinery Furniture Equipment</t>
  </si>
  <si>
    <t>Buildings And Improvements</t>
  </si>
  <si>
    <t>Land And Improvements</t>
  </si>
  <si>
    <t>Current Assets</t>
  </si>
  <si>
    <t>Other Current Assets</t>
  </si>
  <si>
    <t>Prepaid Assets</t>
  </si>
  <si>
    <t>Inventory</t>
  </si>
  <si>
    <t>Inventories Adjustments Allowances</t>
  </si>
  <si>
    <t>Other Inventories</t>
  </si>
  <si>
    <t>Finished Goods</t>
  </si>
  <si>
    <t>Raw Materials</t>
  </si>
  <si>
    <t>Other Receivables</t>
  </si>
  <si>
    <t>Taxes Receivable</t>
  </si>
  <si>
    <t>Accounts Receivable</t>
  </si>
  <si>
    <t>Cash Cash Equivalents And Short Term Investments</t>
  </si>
  <si>
    <t>Cash And Cash Equivalents</t>
  </si>
  <si>
    <t>Cash Equivalents</t>
  </si>
  <si>
    <t>Cash Financial</t>
  </si>
  <si>
    <t>Operating Revenue</t>
  </si>
  <si>
    <t>Total Revenue</t>
  </si>
  <si>
    <t>Cost Of Revenue</t>
  </si>
  <si>
    <t>Gross Profit</t>
  </si>
  <si>
    <t>General And Administrative Expense</t>
  </si>
  <si>
    <t>Selling And Marketing Expense</t>
  </si>
  <si>
    <t>Selling General And Administration</t>
  </si>
  <si>
    <t>Depreciation Income Statement</t>
  </si>
  <si>
    <t>Depreciation And Amortization In Income Statement</t>
  </si>
  <si>
    <t>Other Operating Expenses</t>
  </si>
  <si>
    <t>Operating Expense</t>
  </si>
  <si>
    <t>Operating Income</t>
  </si>
  <si>
    <t>Interest Income Non Operating</t>
  </si>
  <si>
    <t>Interest Expense Non Operating</t>
  </si>
  <si>
    <t>Total Other Finance Cost</t>
  </si>
  <si>
    <t>Net Non Operating Interest Income Expense</t>
  </si>
  <si>
    <t>Pretax Income</t>
  </si>
  <si>
    <t>Tax Provision</t>
  </si>
  <si>
    <t>Net Income Continuous Operations</t>
  </si>
  <si>
    <t>Net Income Including Noncontrolling Interests</t>
  </si>
  <si>
    <t>Net Income</t>
  </si>
  <si>
    <t>Net Income Common Stockholders</t>
  </si>
  <si>
    <t>Diluted NI Availto Com Stockholders</t>
  </si>
  <si>
    <t>Basic EPS</t>
  </si>
  <si>
    <t>Diluted EPS</t>
  </si>
  <si>
    <t>Basic Average Shares</t>
  </si>
  <si>
    <t>Diluted Average Shares</t>
  </si>
  <si>
    <t>Total Operating Income As Reported</t>
  </si>
  <si>
    <t>Total Expenses</t>
  </si>
  <si>
    <t>Net Income From Continuing And Discontinued Operation</t>
  </si>
  <si>
    <t>Normalized Income</t>
  </si>
  <si>
    <t>Interest Income</t>
  </si>
  <si>
    <t>Interest Expense</t>
  </si>
  <si>
    <t>Net Interest Income</t>
  </si>
  <si>
    <t>EBIT</t>
  </si>
  <si>
    <t>EBITDA</t>
  </si>
  <si>
    <t>Reconciled Cost Of Revenue</t>
  </si>
  <si>
    <t>Reconciled Depreciation</t>
  </si>
  <si>
    <t>Net Income From Continuing Operation Net Minority Interest</t>
  </si>
  <si>
    <t>Total Unusual Items Excluding Goodwill</t>
  </si>
  <si>
    <t>Total Unusual Items</t>
  </si>
  <si>
    <t>Normalized EBITDA</t>
  </si>
  <si>
    <t>Tax Rate For Calcs</t>
  </si>
  <si>
    <t>Tax Effect Of Unusual Items</t>
  </si>
  <si>
    <t>Balance Sheet</t>
  </si>
  <si>
    <t xml:space="preserve">Income Statement </t>
  </si>
  <si>
    <t>assets</t>
  </si>
  <si>
    <t>liabilities+equity</t>
  </si>
  <si>
    <t>How efficient is WALMEX (WALMEX.MX)?</t>
  </si>
  <si>
    <t>Net profit margin</t>
  </si>
  <si>
    <t>The percentage of revenue left as net income after all expenses are paid</t>
  </si>
  <si>
    <t>ROE</t>
  </si>
  <si>
    <t>How efficiently a company uses equity money to generate income</t>
  </si>
  <si>
    <t>ROA</t>
  </si>
  <si>
    <t>How profitable a company is relative to its total assets</t>
  </si>
  <si>
    <t>Debt Metrics</t>
  </si>
  <si>
    <t>How leveraged is Walmex?</t>
  </si>
  <si>
    <t>Debt to Equity</t>
  </si>
  <si>
    <t>Debt to assets</t>
  </si>
  <si>
    <t>Percentage of total assets financed by debt</t>
  </si>
  <si>
    <t>Ratio used to evaluate its financial leverage dividing total debt by equity</t>
  </si>
  <si>
    <t xml:space="preserve">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</si>
</sst>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;[Red]&quot;$&quot;#,##0.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rgb="FF002060"/>
      <name val="Aptos Narrow"/>
      <family val="2"/>
      <scheme val="minor"/>
    </font>
    <font>
      <b/>
      <sz val="10"/>
      <name val="Arial"/>
      <family val="2"/>
    </font>
    <font>
      <b/>
      <sz val="9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</borders>
  <cellStyleXfs count="4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6" fontId="20" fillId="0" borderId="10"/>
    <xf numFmtId="166" fontId="21" fillId="0" borderId="11"/>
    <xf numFmtId="165" fontId="1" fillId="0" borderId="0" applyFont="0" applyFill="0" applyBorder="0" applyAlignment="0" applyProtection="0"/>
  </cellStyleXfs>
  <cellXfs count="21">
    <xf numFmtId="0" fontId="0" fillId="0" borderId="0" xfId="0"/>
    <xf numFmtId="0" fontId="18" fillId="0" borderId="0" xfId="0" applyFont="1"/>
    <xf numFmtId="0" fontId="19" fillId="0" borderId="0" xfId="0" applyFont="1"/>
    <xf numFmtId="164" fontId="18" fillId="0" borderId="0" xfId="0" applyNumberFormat="1" applyFont="1"/>
    <xf numFmtId="164" fontId="0" fillId="0" borderId="0" xfId="0" applyNumberFormat="1"/>
    <xf numFmtId="166" fontId="20" fillId="0" borderId="10" xfId="44"/>
    <xf numFmtId="166" fontId="21" fillId="0" borderId="11" xfId="45"/>
    <xf numFmtId="0" fontId="22" fillId="0" borderId="0" xfId="0" applyFont="1"/>
    <xf numFmtId="166" fontId="18" fillId="0" borderId="0" xfId="0" applyNumberFormat="1" applyFont="1"/>
    <xf numFmtId="166" fontId="0" fillId="0" borderId="0" xfId="0" applyNumberFormat="1"/>
    <xf numFmtId="14" fontId="23" fillId="0" borderId="0" xfId="0" applyNumberFormat="1" applyFont="1"/>
    <xf numFmtId="166" fontId="20" fillId="0" borderId="0" xfId="44" applyBorder="1"/>
    <xf numFmtId="0" fontId="0" fillId="33" borderId="0" xfId="0" applyFill="1"/>
    <xf numFmtId="164" fontId="18" fillId="0" borderId="0" xfId="1" applyFont="1"/>
    <xf numFmtId="0" fontId="24" fillId="34" borderId="0" xfId="0" applyFont="1" applyFill="1"/>
    <xf numFmtId="0" fontId="13" fillId="34" borderId="0" xfId="0" applyFont="1" applyFill="1"/>
    <xf numFmtId="9" fontId="0" fillId="0" borderId="0" xfId="2" applyFont="1"/>
    <xf numFmtId="10" fontId="0" fillId="0" borderId="0" xfId="2" applyNumberFormat="1" applyFont="1"/>
    <xf numFmtId="165" fontId="18" fillId="0" borderId="0" xfId="46" applyFont="1"/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wrapText="1"/>
    </xf>
  </cellXfs>
  <cellStyles count="47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46" builtinId="3"/>
    <cellStyle name="Moneda" xfId="1" builtinId="4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Sum format" xfId="44" xr:uid="{3F0E1BB7-81C8-47EC-963B-875ABCB833AC}"/>
    <cellStyle name="Sum Total format" xfId="45" xr:uid="{6AB90BF6-2599-4100-89DF-36FE51081BE3}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817412736931555"/>
          <c:y val="4.07441119155609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3"/>
          <c:order val="3"/>
          <c:tx>
            <c:strRef>
              <c:f>Trends!$B$7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>
              <a:outerShdw blurRad="50800" dist="50800" dir="5400000" algn="ctr" rotWithShape="0">
                <a:srgbClr val="002060"/>
              </a:outerShdw>
            </a:effectLst>
            <a:sp3d/>
          </c:spPr>
          <c:invertIfNegative val="0"/>
          <c:cat>
            <c:numRef>
              <c:f>Trends!$C$3:$F$3</c:f>
              <c:numCache>
                <c:formatCode>General</c:formatCode>
                <c:ptCount val="4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</c:numCache>
            </c:numRef>
          </c:cat>
          <c:val>
            <c:numRef>
              <c:f>Trends!$C$7:$F$7</c:f>
              <c:numCache>
                <c:formatCode>_-"$"* #,##0.00_-;\-"$"* #,##0.00_-;_-"$"* "-"??_-;_-@_-</c:formatCode>
                <c:ptCount val="4"/>
                <c:pt idx="0">
                  <c:v>1010803706000</c:v>
                </c:pt>
                <c:pt idx="1">
                  <c:v>957524496000</c:v>
                </c:pt>
                <c:pt idx="2">
                  <c:v>885739821000</c:v>
                </c:pt>
                <c:pt idx="3">
                  <c:v>818225636000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34-4027-9C33-B81AEC060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2194240"/>
        <c:axId val="332213440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Trends!$B$4</c15:sqref>
                        </c15:formulaRef>
                      </c:ext>
                    </c:extLst>
                    <c:strCache>
                      <c:ptCount val="1"/>
                      <c:pt idx="0">
                        <c:v>EBITDA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Trends!$C$3:$F$3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2025</c:v>
                      </c:pt>
                      <c:pt idx="1">
                        <c:v>2024</c:v>
                      </c:pt>
                      <c:pt idx="2">
                        <c:v>2023</c:v>
                      </c:pt>
                      <c:pt idx="3">
                        <c:v>2022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Trends!$C$4:$F$4</c15:sqref>
                        </c15:formulaRef>
                      </c:ext>
                    </c:extLst>
                    <c:numCache>
                      <c:formatCode>_-"$"* #,##0.00_-;\-"$"* #,##0.00_-;_-"$"* "-"??_-;_-@_-</c:formatCode>
                      <c:ptCount val="4"/>
                      <c:pt idx="0">
                        <c:v>102944934000</c:v>
                      </c:pt>
                      <c:pt idx="1">
                        <c:v>100164445000</c:v>
                      </c:pt>
                      <c:pt idx="2">
                        <c:v>97020695000</c:v>
                      </c:pt>
                      <c:pt idx="3">
                        <c:v>89775599000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F34-4027-9C33-B81AEC060A4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Trends!$B$5</c15:sqref>
                        </c15:formulaRef>
                      </c:ext>
                    </c:extLst>
                    <c:strCache>
                      <c:ptCount val="1"/>
                      <c:pt idx="0">
                        <c:v>Net Income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Trends!$C$3:$F$3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2025</c:v>
                      </c:pt>
                      <c:pt idx="1">
                        <c:v>2024</c:v>
                      </c:pt>
                      <c:pt idx="2">
                        <c:v>2023</c:v>
                      </c:pt>
                      <c:pt idx="3">
                        <c:v>2022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Trends!$C$5:$F$5</c15:sqref>
                        </c15:formulaRef>
                      </c:ext>
                    </c:extLst>
                    <c:numCache>
                      <c:formatCode>_-"$"* #,##0.00_-;\-"$"* #,##0.00_-;_-"$"* "-"??_-;_-@_-</c:formatCode>
                      <c:ptCount val="4"/>
                      <c:pt idx="0">
                        <c:v>49890741000</c:v>
                      </c:pt>
                      <c:pt idx="1">
                        <c:v>53827384000</c:v>
                      </c:pt>
                      <c:pt idx="2">
                        <c:v>51589989000</c:v>
                      </c:pt>
                      <c:pt idx="3">
                        <c:v>48974184000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F34-4027-9C33-B81AEC060A4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Trends!$B$6</c15:sqref>
                        </c15:formulaRef>
                      </c:ext>
                    </c:extLst>
                    <c:strCache>
                      <c:ptCount val="1"/>
                      <c:pt idx="0">
                        <c:v>Gross Profit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Trends!$C$3:$F$3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2025</c:v>
                      </c:pt>
                      <c:pt idx="1">
                        <c:v>2024</c:v>
                      </c:pt>
                      <c:pt idx="2">
                        <c:v>2023</c:v>
                      </c:pt>
                      <c:pt idx="3">
                        <c:v>2022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Trends!$C$6:$F$6</c15:sqref>
                        </c15:formulaRef>
                      </c:ext>
                    </c:extLst>
                    <c:numCache>
                      <c:formatCode>_-"$"* #,##0.00_-;\-"$"* #,##0.00_-;_-"$"* "-"??_-;_-@_-</c:formatCode>
                      <c:ptCount val="4"/>
                      <c:pt idx="0">
                        <c:v>244403717000</c:v>
                      </c:pt>
                      <c:pt idx="1">
                        <c:v>230490223000</c:v>
                      </c:pt>
                      <c:pt idx="2">
                        <c:v>209774960000</c:v>
                      </c:pt>
                      <c:pt idx="3">
                        <c:v>190454535000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F34-4027-9C33-B81AEC060A47}"/>
                  </c:ext>
                </c:extLst>
              </c15:ser>
            </c15:filteredBarSeries>
          </c:ext>
        </c:extLst>
      </c:bar3DChart>
      <c:catAx>
        <c:axId val="33219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213440"/>
        <c:crosses val="autoZero"/>
        <c:auto val="1"/>
        <c:lblAlgn val="ctr"/>
        <c:lblOffset val="100"/>
        <c:noMultiLvlLbl val="0"/>
      </c:catAx>
      <c:valAx>
        <c:axId val="332213440"/>
        <c:scaling>
          <c:orientation val="minMax"/>
        </c:scaling>
        <c:delete val="0"/>
        <c:axPos val="l"/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94240"/>
        <c:crosses val="autoZero"/>
        <c:crossBetween val="between"/>
        <c:dispUnits>
          <c:builtInUnit val="b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b="1"/>
                    <a:t>Billions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ROE</a:t>
            </a:r>
            <a:r>
              <a:rPr lang="en-US" b="1" baseline="0">
                <a:solidFill>
                  <a:srgbClr val="002060"/>
                </a:solidFill>
              </a:rPr>
              <a:t>-Debt to Equity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777133602105594E-2"/>
          <c:y val="0.10943471278649604"/>
          <c:w val="0.88040599453395918"/>
          <c:h val="0.748068537952829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Trends!$B$13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>
              <a:innerShdw blurRad="76200" dist="50800" dir="8100000">
                <a:prstClr val="black">
                  <a:alpha val="76000"/>
                </a:prstClr>
              </a:innerShdw>
            </a:effectLst>
            <a:scene3d>
              <a:camera prst="orthographicFront"/>
              <a:lightRig rig="threePt" dir="t"/>
            </a:scene3d>
            <a:sp3d prstMaterial="softEdge">
              <a:bevelB w="114300" prst="artDeco"/>
            </a:sp3d>
          </c:spPr>
          <c:invertIfNegative val="0"/>
          <c:cat>
            <c:numRef>
              <c:f>Trends!$I$3:$L$3</c:f>
              <c:numCache>
                <c:formatCode>General</c:formatCode>
                <c:ptCount val="4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</c:numCache>
            </c:numRef>
          </c:cat>
          <c:val>
            <c:numRef>
              <c:f>Trends!$C$13:$F$13</c:f>
              <c:numCache>
                <c:formatCode>0.00%</c:formatCode>
                <c:ptCount val="4"/>
                <c:pt idx="0">
                  <c:v>0.21177828373174587</c:v>
                </c:pt>
                <c:pt idx="1">
                  <c:v>0.23114235359843763</c:v>
                </c:pt>
                <c:pt idx="2">
                  <c:v>0.25913414008035129</c:v>
                </c:pt>
                <c:pt idx="3">
                  <c:v>0.24188558862545961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D-4FEF-9CBE-02CD4771B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604672"/>
        <c:axId val="389602272"/>
      </c:barChart>
      <c:lineChart>
        <c:grouping val="standard"/>
        <c:varyColors val="0"/>
        <c:ser>
          <c:idx val="1"/>
          <c:order val="1"/>
          <c:tx>
            <c:strRef>
              <c:f>Trends!$H$10</c:f>
              <c:strCache>
                <c:ptCount val="1"/>
                <c:pt idx="0">
                  <c:v>Debt to Equity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Trends!$I$10:$L$10</c:f>
              <c:numCache>
                <c:formatCode>_-* #,##0.00_-;\-* #,##0.00_-;_-* "-"??_-;_-@_-</c:formatCode>
                <c:ptCount val="4"/>
                <c:pt idx="0">
                  <c:v>1.1023564596156548</c:v>
                </c:pt>
                <c:pt idx="1">
                  <c:v>1.1208462493745961</c:v>
                </c:pt>
                <c:pt idx="2">
                  <c:v>1.1927535581011139</c:v>
                </c:pt>
                <c:pt idx="3">
                  <c:v>1.0685124501636387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ED-4FEF-9CBE-02CD4771B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83456"/>
        <c:axId val="124284416"/>
      </c:lineChart>
      <c:catAx>
        <c:axId val="3896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02272"/>
        <c:crosses val="autoZero"/>
        <c:auto val="1"/>
        <c:lblAlgn val="ctr"/>
        <c:lblOffset val="100"/>
        <c:noMultiLvlLbl val="0"/>
      </c:catAx>
      <c:valAx>
        <c:axId val="389602272"/>
        <c:scaling>
          <c:orientation val="minMax"/>
          <c:min val="0.15000000000000002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3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04672"/>
        <c:crosses val="autoZero"/>
        <c:crossBetween val="between"/>
      </c:valAx>
      <c:valAx>
        <c:axId val="124284416"/>
        <c:scaling>
          <c:orientation val="minMax"/>
        </c:scaling>
        <c:delete val="0"/>
        <c:axPos val="r"/>
        <c:numFmt formatCode="_-* #,##0.00_-;\-* #,##0.0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83456"/>
        <c:crosses val="max"/>
        <c:crossBetween val="between"/>
      </c:valAx>
      <c:catAx>
        <c:axId val="12428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12428441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47627</xdr:colOff>
      <xdr:row>18</xdr:row>
      <xdr:rowOff>108857</xdr:rowOff>
    </xdr:from>
    <xdr:to>
      <xdr:col>6</xdr:col>
      <xdr:colOff>176894</xdr:colOff>
      <xdr:row>38</xdr:row>
      <xdr:rowOff>40821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B5A262-8EBA-93BC-17A7-F4F94DF7A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449036</xdr:colOff>
      <xdr:row>18</xdr:row>
      <xdr:rowOff>27215</xdr:rowOff>
    </xdr:from>
    <xdr:to>
      <xdr:col>13</xdr:col>
      <xdr:colOff>40822</xdr:colOff>
      <xdr:row>37</xdr:row>
      <xdr:rowOff>174170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8CB920-14D2-B2FA-7B43-01D6469DF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DAA6-884D-4619-B278-E1EBD8F789E9}">
  <dimension ref="B1:H70"/>
  <sheetViews>
    <sheetView showGridLines="0" topLeftCell="A9" zoomScale="85" zoomScaleNormal="85" workbookViewId="0">
      <selection activeCell="H20" sqref="H20"/>
    </sheetView>
  </sheetViews>
  <sheetFormatPr baseColWidth="10" defaultColWidth="9.140625" defaultRowHeight="15" x14ac:dyDescent="0.25"/>
  <cols>
    <col min="1" max="1" width="2.7109375" customWidth="1"/>
    <col min="2" max="2" width="54.85546875" bestFit="1" customWidth="1"/>
    <col min="3" max="6" width="18.5703125" bestFit="1" customWidth="1"/>
    <col min="7" max="7" width="15.7109375" bestFit="1" customWidth="1"/>
    <col min="8" max="8" width="18.5703125" bestFit="1" customWidth="1"/>
  </cols>
  <sheetData>
    <row r="1" spans="2:8" ht="21" x14ac:dyDescent="0.35">
      <c r="B1" s="7" t="s">
        <v>112</v>
      </c>
    </row>
    <row r="2" spans="2:8" x14ac:dyDescent="0.25">
      <c r="B2" s="2"/>
      <c r="C2" s="10">
        <v>46022</v>
      </c>
      <c r="D2" s="10">
        <v>45657</v>
      </c>
      <c r="E2" s="10">
        <v>45291</v>
      </c>
      <c r="F2" s="10">
        <v>44926</v>
      </c>
    </row>
    <row r="3" spans="2:8" x14ac:dyDescent="0.25">
      <c r="B3" s="1" t="s">
        <v>0</v>
      </c>
      <c r="C3" s="8">
        <v>17305307303</v>
      </c>
      <c r="D3" s="8">
        <v>17446322177</v>
      </c>
      <c r="E3" s="8">
        <v>17446322177</v>
      </c>
      <c r="F3" s="8">
        <v>17461402631</v>
      </c>
    </row>
    <row r="4" spans="2:8" x14ac:dyDescent="0.25">
      <c r="B4" s="1" t="s">
        <v>1</v>
      </c>
      <c r="C4" s="8">
        <v>17305307303</v>
      </c>
      <c r="D4" s="8">
        <v>17446322177</v>
      </c>
      <c r="E4" s="8">
        <v>17446322177</v>
      </c>
      <c r="F4" s="8">
        <v>17461402631</v>
      </c>
    </row>
    <row r="5" spans="2:8" x14ac:dyDescent="0.25">
      <c r="B5" s="1" t="s">
        <v>2</v>
      </c>
      <c r="C5" s="8">
        <v>80848147000</v>
      </c>
      <c r="D5" s="8">
        <v>79729904000</v>
      </c>
      <c r="E5" s="8">
        <v>75253796000</v>
      </c>
      <c r="F5" s="8">
        <v>69838582000</v>
      </c>
    </row>
    <row r="6" spans="2:8" x14ac:dyDescent="0.25">
      <c r="B6" s="1" t="s">
        <v>3</v>
      </c>
      <c r="C6" s="8">
        <v>192933511000</v>
      </c>
      <c r="D6" s="8">
        <v>185482343000</v>
      </c>
      <c r="E6" s="8">
        <v>160749817000</v>
      </c>
      <c r="F6" s="8">
        <v>163250009000</v>
      </c>
    </row>
    <row r="7" spans="2:8" x14ac:dyDescent="0.25">
      <c r="B7" s="1" t="s">
        <v>4</v>
      </c>
      <c r="C7" s="8">
        <v>235580061000</v>
      </c>
      <c r="D7" s="8">
        <v>232875469000</v>
      </c>
      <c r="E7" s="8">
        <v>199086037000</v>
      </c>
      <c r="F7" s="8">
        <v>202468383000</v>
      </c>
    </row>
    <row r="8" spans="2:8" x14ac:dyDescent="0.25">
      <c r="B8" s="1" t="s">
        <v>5</v>
      </c>
      <c r="C8" s="8">
        <v>-5607265000</v>
      </c>
      <c r="D8" s="8">
        <v>2603524000</v>
      </c>
      <c r="E8" s="8">
        <v>3523799000</v>
      </c>
      <c r="F8" s="8">
        <v>16847276000</v>
      </c>
    </row>
    <row r="9" spans="2:8" x14ac:dyDescent="0.25">
      <c r="B9" s="1" t="s">
        <v>6</v>
      </c>
      <c r="C9" s="8">
        <v>192933511000</v>
      </c>
      <c r="D9" s="8">
        <v>185482343000</v>
      </c>
      <c r="E9" s="8">
        <v>160749817000</v>
      </c>
      <c r="F9" s="8">
        <v>163250009000</v>
      </c>
    </row>
    <row r="10" spans="2:8" x14ac:dyDescent="0.25">
      <c r="B10" s="1" t="s">
        <v>7</v>
      </c>
      <c r="C10" s="8">
        <v>80848147000</v>
      </c>
      <c r="D10" s="8">
        <v>79729904000</v>
      </c>
      <c r="E10" s="8">
        <v>75253796000</v>
      </c>
      <c r="F10" s="8">
        <v>69838582000</v>
      </c>
    </row>
    <row r="11" spans="2:8" x14ac:dyDescent="0.25">
      <c r="B11" s="1" t="s">
        <v>8</v>
      </c>
      <c r="C11" s="8">
        <v>235580061000</v>
      </c>
      <c r="D11" s="8">
        <v>232875469000</v>
      </c>
      <c r="E11" s="8">
        <v>199086037000</v>
      </c>
      <c r="F11" s="8">
        <v>202468383000</v>
      </c>
      <c r="H11" s="12" t="s">
        <v>129</v>
      </c>
    </row>
    <row r="12" spans="2:8" x14ac:dyDescent="0.25">
      <c r="B12" s="1" t="s">
        <v>9</v>
      </c>
      <c r="C12" s="8">
        <v>235580061000</v>
      </c>
      <c r="D12" s="8">
        <v>232875469000</v>
      </c>
      <c r="E12" s="8">
        <v>199086037000</v>
      </c>
      <c r="F12" s="8">
        <v>202468383000</v>
      </c>
      <c r="G12" t="s">
        <v>114</v>
      </c>
      <c r="H12" s="9">
        <f>C38</f>
        <v>495273263000</v>
      </c>
    </row>
    <row r="13" spans="2:8" x14ac:dyDescent="0.25">
      <c r="B13" s="1" t="s">
        <v>10</v>
      </c>
      <c r="C13" s="8">
        <v>235580061000</v>
      </c>
      <c r="D13" s="8">
        <v>232875469000</v>
      </c>
      <c r="E13" s="8">
        <v>199086037000</v>
      </c>
      <c r="F13" s="8">
        <v>202468383000</v>
      </c>
      <c r="G13" t="s">
        <v>115</v>
      </c>
      <c r="H13" s="9">
        <f>C20+C14</f>
        <v>495273263000</v>
      </c>
    </row>
    <row r="14" spans="2:8" ht="15.75" thickBot="1" x14ac:dyDescent="0.3">
      <c r="B14" s="5" t="s">
        <v>11</v>
      </c>
      <c r="C14" s="5">
        <v>235580061000</v>
      </c>
      <c r="D14" s="5">
        <v>232875469000</v>
      </c>
      <c r="E14" s="5">
        <v>199086037000</v>
      </c>
      <c r="F14" s="5">
        <v>202468383000</v>
      </c>
    </row>
    <row r="15" spans="2:8" x14ac:dyDescent="0.25">
      <c r="B15" s="1" t="s">
        <v>12</v>
      </c>
      <c r="C15" s="8">
        <v>-10398225000</v>
      </c>
      <c r="D15" s="8">
        <v>-11168314000</v>
      </c>
      <c r="E15" s="8">
        <v>-12094876000</v>
      </c>
      <c r="F15" s="8">
        <v>-8089592000</v>
      </c>
    </row>
    <row r="16" spans="2:8" x14ac:dyDescent="0.25">
      <c r="B16" s="1" t="s">
        <v>13</v>
      </c>
      <c r="C16" s="8">
        <v>180017034000</v>
      </c>
      <c r="D16" s="8">
        <v>167447963000</v>
      </c>
      <c r="E16" s="8">
        <v>151020031000</v>
      </c>
      <c r="F16" s="8">
        <v>146727023000</v>
      </c>
    </row>
    <row r="17" spans="2:6" x14ac:dyDescent="0.25">
      <c r="B17" s="1" t="s">
        <v>14</v>
      </c>
      <c r="C17" s="8">
        <v>6230963000</v>
      </c>
      <c r="D17" s="8">
        <v>5906487000</v>
      </c>
      <c r="E17" s="8">
        <v>5640011000</v>
      </c>
      <c r="F17" s="8">
        <v>5289992000</v>
      </c>
    </row>
    <row r="18" spans="2:6" x14ac:dyDescent="0.25">
      <c r="B18" s="1" t="s">
        <v>15</v>
      </c>
      <c r="C18" s="8">
        <v>45027866000</v>
      </c>
      <c r="D18" s="8">
        <v>45429160000</v>
      </c>
      <c r="E18" s="8">
        <v>45429160000</v>
      </c>
      <c r="F18" s="8">
        <v>45468428000</v>
      </c>
    </row>
    <row r="19" spans="2:6" x14ac:dyDescent="0.25">
      <c r="B19" s="1" t="s">
        <v>16</v>
      </c>
      <c r="C19" s="8">
        <v>45027866000</v>
      </c>
      <c r="D19" s="8">
        <v>45429160000</v>
      </c>
      <c r="E19" s="8">
        <v>45429160000</v>
      </c>
      <c r="F19" s="8">
        <v>45468428000</v>
      </c>
    </row>
    <row r="20" spans="2:6" ht="15.75" thickBot="1" x14ac:dyDescent="0.3">
      <c r="B20" s="5" t="s">
        <v>17</v>
      </c>
      <c r="C20" s="5">
        <v>259693202000</v>
      </c>
      <c r="D20" s="5">
        <v>261017596000</v>
      </c>
      <c r="E20" s="5">
        <v>237460579000</v>
      </c>
      <c r="F20" s="5">
        <v>216339988000</v>
      </c>
    </row>
    <row r="21" spans="2:6" x14ac:dyDescent="0.25">
      <c r="B21" s="1" t="s">
        <v>18</v>
      </c>
      <c r="C21" s="8">
        <v>89976490000</v>
      </c>
      <c r="D21" s="8">
        <v>90223852000</v>
      </c>
      <c r="E21" s="8">
        <v>81242066000</v>
      </c>
      <c r="F21" s="8">
        <v>78654234000</v>
      </c>
    </row>
    <row r="22" spans="2:6" x14ac:dyDescent="0.25">
      <c r="B22" s="1" t="s">
        <v>19</v>
      </c>
      <c r="C22" s="8">
        <v>13177000</v>
      </c>
      <c r="D22" s="8">
        <v>13408000</v>
      </c>
      <c r="E22" s="8">
        <v>7106000</v>
      </c>
      <c r="F22" s="8">
        <v>7906000</v>
      </c>
    </row>
    <row r="23" spans="2:6" x14ac:dyDescent="0.25">
      <c r="B23" s="1" t="s">
        <v>20</v>
      </c>
      <c r="C23" s="8">
        <v>3623589000</v>
      </c>
      <c r="D23" s="8">
        <v>2997869000</v>
      </c>
      <c r="E23" s="8">
        <v>2327110000</v>
      </c>
      <c r="F23" s="8">
        <v>2278556000</v>
      </c>
    </row>
    <row r="24" spans="2:6" x14ac:dyDescent="0.25">
      <c r="B24" s="1" t="s">
        <v>21</v>
      </c>
      <c r="C24" s="8">
        <v>8475751000</v>
      </c>
      <c r="D24" s="8">
        <v>9693357000</v>
      </c>
      <c r="E24" s="8">
        <v>5075163000</v>
      </c>
      <c r="F24" s="8">
        <v>6651033000</v>
      </c>
    </row>
    <row r="25" spans="2:6" x14ac:dyDescent="0.25">
      <c r="B25" s="1" t="s">
        <v>22</v>
      </c>
      <c r="C25" s="8">
        <v>2202768000</v>
      </c>
      <c r="D25" s="8">
        <v>2524430000</v>
      </c>
      <c r="E25" s="8">
        <v>2891014000</v>
      </c>
      <c r="F25" s="8">
        <v>3389703000</v>
      </c>
    </row>
    <row r="26" spans="2:6" x14ac:dyDescent="0.25">
      <c r="B26" s="1" t="s">
        <v>23</v>
      </c>
      <c r="C26" s="8">
        <v>2364599000</v>
      </c>
      <c r="D26" s="8">
        <v>2381292000</v>
      </c>
      <c r="E26" s="9">
        <v>0</v>
      </c>
      <c r="F26" s="9">
        <v>0</v>
      </c>
    </row>
    <row r="27" spans="2:6" x14ac:dyDescent="0.25">
      <c r="B27" s="1" t="s">
        <v>24</v>
      </c>
      <c r="C27" s="8">
        <v>75661205000</v>
      </c>
      <c r="D27" s="8">
        <v>74994788000</v>
      </c>
      <c r="E27" s="8">
        <v>70941673000</v>
      </c>
      <c r="F27" s="8">
        <v>66327036000</v>
      </c>
    </row>
    <row r="28" spans="2:6" x14ac:dyDescent="0.25">
      <c r="B28" s="1" t="s">
        <v>25</v>
      </c>
      <c r="C28" s="8">
        <v>75661205000</v>
      </c>
      <c r="D28" s="8">
        <v>74994788000</v>
      </c>
      <c r="E28" s="8">
        <v>70941673000</v>
      </c>
      <c r="F28" s="8">
        <v>66327036000</v>
      </c>
    </row>
    <row r="29" spans="2:6" x14ac:dyDescent="0.25">
      <c r="B29" s="1" t="s">
        <v>26</v>
      </c>
      <c r="C29" s="8">
        <v>169716712000</v>
      </c>
      <c r="D29" s="8">
        <v>170793744000</v>
      </c>
      <c r="E29" s="8">
        <v>156218513000</v>
      </c>
      <c r="F29" s="8">
        <v>137685754000</v>
      </c>
    </row>
    <row r="30" spans="2:6" x14ac:dyDescent="0.25">
      <c r="B30" s="1" t="s">
        <v>27</v>
      </c>
      <c r="C30" s="8">
        <v>5186942000</v>
      </c>
      <c r="D30" s="8">
        <v>4735116000</v>
      </c>
      <c r="E30" s="8">
        <v>4312123000</v>
      </c>
      <c r="F30" s="8">
        <v>3511546000</v>
      </c>
    </row>
    <row r="31" spans="2:6" x14ac:dyDescent="0.25">
      <c r="B31" s="1" t="s">
        <v>28</v>
      </c>
      <c r="C31" s="8">
        <v>5186942000</v>
      </c>
      <c r="D31" s="8">
        <v>4735116000</v>
      </c>
      <c r="E31" s="8">
        <v>4312123000</v>
      </c>
      <c r="F31" s="8">
        <v>3511546000</v>
      </c>
    </row>
    <row r="32" spans="2:6" x14ac:dyDescent="0.25">
      <c r="B32" s="1" t="s">
        <v>29</v>
      </c>
      <c r="C32" s="8">
        <v>29632531000</v>
      </c>
      <c r="D32" s="8">
        <v>29732122000</v>
      </c>
      <c r="E32" s="8">
        <v>1977808000</v>
      </c>
      <c r="F32" s="8">
        <v>1924061000</v>
      </c>
    </row>
    <row r="33" spans="2:6" x14ac:dyDescent="0.25">
      <c r="B33" s="1" t="s">
        <v>30</v>
      </c>
      <c r="C33" s="8">
        <v>132712166000</v>
      </c>
      <c r="D33" s="8">
        <v>134220757000</v>
      </c>
      <c r="E33" s="8">
        <v>117283835000</v>
      </c>
      <c r="F33" s="8">
        <v>104465013000</v>
      </c>
    </row>
    <row r="34" spans="2:6" x14ac:dyDescent="0.25">
      <c r="B34" s="1" t="s">
        <v>31</v>
      </c>
      <c r="C34" s="8">
        <v>1491551000</v>
      </c>
      <c r="D34" s="8">
        <v>1827164000</v>
      </c>
      <c r="E34" s="8">
        <v>1422207000</v>
      </c>
      <c r="F34" s="8">
        <v>1459367000</v>
      </c>
    </row>
    <row r="35" spans="2:6" x14ac:dyDescent="0.25">
      <c r="B35" s="1" t="s">
        <v>32</v>
      </c>
      <c r="C35" s="8">
        <v>251675000</v>
      </c>
      <c r="D35" s="8">
        <v>234157000</v>
      </c>
      <c r="E35" s="8">
        <v>217585000</v>
      </c>
      <c r="F35" s="8">
        <v>187491000</v>
      </c>
    </row>
    <row r="36" spans="2:6" x14ac:dyDescent="0.25">
      <c r="B36" s="1" t="s">
        <v>33</v>
      </c>
      <c r="C36" s="8">
        <v>7065001000</v>
      </c>
      <c r="D36" s="8">
        <v>10188203000</v>
      </c>
      <c r="E36" s="8">
        <v>1214037000</v>
      </c>
      <c r="F36" s="8">
        <v>3861904000</v>
      </c>
    </row>
    <row r="37" spans="2:6" x14ac:dyDescent="0.25">
      <c r="B37" s="1" t="s">
        <v>34</v>
      </c>
      <c r="C37" s="8">
        <v>123903939000</v>
      </c>
      <c r="D37" s="8">
        <v>121971233000</v>
      </c>
      <c r="E37" s="8">
        <v>114430006000</v>
      </c>
      <c r="F37" s="8">
        <v>98956251000</v>
      </c>
    </row>
    <row r="38" spans="2:6" ht="15.75" thickBot="1" x14ac:dyDescent="0.3">
      <c r="B38" s="5" t="s">
        <v>35</v>
      </c>
      <c r="C38" s="5">
        <v>495273263000</v>
      </c>
      <c r="D38" s="5">
        <v>493893065000</v>
      </c>
      <c r="E38" s="5">
        <v>436546616000</v>
      </c>
      <c r="F38" s="5">
        <v>418808371000</v>
      </c>
    </row>
    <row r="39" spans="2:6" x14ac:dyDescent="0.25">
      <c r="B39" s="1" t="s">
        <v>36</v>
      </c>
      <c r="C39" s="8">
        <v>331163816000</v>
      </c>
      <c r="D39" s="8">
        <v>320495797000</v>
      </c>
      <c r="E39" s="8">
        <v>276804304000</v>
      </c>
      <c r="F39" s="8">
        <v>264275341000</v>
      </c>
    </row>
    <row r="40" spans="2:6" x14ac:dyDescent="0.25">
      <c r="B40" s="1" t="s">
        <v>37</v>
      </c>
      <c r="C40" s="8">
        <v>2568786000</v>
      </c>
      <c r="D40" s="8">
        <v>2398942000</v>
      </c>
      <c r="E40" s="8">
        <v>1683776000</v>
      </c>
      <c r="F40" s="8">
        <v>2318180000</v>
      </c>
    </row>
    <row r="41" spans="2:6" x14ac:dyDescent="0.25">
      <c r="B41" s="1" t="s">
        <v>38</v>
      </c>
      <c r="C41" s="8">
        <v>23189157000</v>
      </c>
      <c r="D41" s="8">
        <v>21678914000</v>
      </c>
      <c r="E41" s="8">
        <v>14177846000</v>
      </c>
      <c r="F41" s="8">
        <v>14103957000</v>
      </c>
    </row>
    <row r="42" spans="2:6" x14ac:dyDescent="0.25">
      <c r="B42" s="1" t="s">
        <v>39</v>
      </c>
      <c r="C42" s="8">
        <v>1982194000</v>
      </c>
      <c r="D42" s="8">
        <v>1739441000</v>
      </c>
      <c r="E42" s="9">
        <v>0</v>
      </c>
      <c r="F42" s="9">
        <v>0</v>
      </c>
    </row>
    <row r="43" spans="2:6" x14ac:dyDescent="0.25">
      <c r="B43" s="1" t="s">
        <v>40</v>
      </c>
      <c r="C43" s="8">
        <v>1982194000</v>
      </c>
      <c r="D43" s="8">
        <v>1739441000</v>
      </c>
      <c r="E43" s="9">
        <v>0</v>
      </c>
      <c r="F43" s="9">
        <v>0</v>
      </c>
    </row>
    <row r="44" spans="2:6" x14ac:dyDescent="0.25">
      <c r="B44" t="s">
        <v>41</v>
      </c>
      <c r="C44" s="9">
        <v>4133976000</v>
      </c>
      <c r="D44" s="9">
        <v>4351732000</v>
      </c>
      <c r="E44" s="9">
        <v>4995315000</v>
      </c>
      <c r="F44" s="9">
        <v>5480105000</v>
      </c>
    </row>
    <row r="45" spans="2:6" x14ac:dyDescent="0.25">
      <c r="B45" t="s">
        <v>42</v>
      </c>
      <c r="C45" s="9">
        <v>42646550000</v>
      </c>
      <c r="D45" s="9">
        <v>47393126000</v>
      </c>
      <c r="E45" s="9">
        <v>38336220000</v>
      </c>
      <c r="F45" s="9">
        <v>39218374000</v>
      </c>
    </row>
    <row r="46" spans="2:6" x14ac:dyDescent="0.25">
      <c r="B46" t="s">
        <v>43</v>
      </c>
      <c r="C46" s="9">
        <v>4745105000</v>
      </c>
      <c r="D46" s="9">
        <v>4696222000</v>
      </c>
      <c r="E46" s="9">
        <v>4039409000</v>
      </c>
      <c r="F46" s="9">
        <v>3604670000</v>
      </c>
    </row>
    <row r="47" spans="2:6" x14ac:dyDescent="0.25">
      <c r="B47" t="s">
        <v>44</v>
      </c>
      <c r="C47" s="9">
        <v>37901445000</v>
      </c>
      <c r="D47" s="9">
        <v>42696904000</v>
      </c>
      <c r="E47" s="9">
        <v>34296811000</v>
      </c>
      <c r="F47" s="9">
        <v>35613704000</v>
      </c>
    </row>
    <row r="48" spans="2:6" x14ac:dyDescent="0.25">
      <c r="B48" t="s">
        <v>45</v>
      </c>
      <c r="C48" s="9">
        <v>258625347000</v>
      </c>
      <c r="D48" s="9">
        <v>244673083000</v>
      </c>
      <c r="E48" s="9">
        <v>217611147000</v>
      </c>
      <c r="F48" s="9">
        <v>203154725000</v>
      </c>
    </row>
    <row r="49" spans="2:6" x14ac:dyDescent="0.25">
      <c r="B49" t="s">
        <v>46</v>
      </c>
      <c r="C49" s="9">
        <v>-179597810000</v>
      </c>
      <c r="D49" s="9">
        <v>-165579690000</v>
      </c>
      <c r="E49" s="9">
        <v>-145324021000</v>
      </c>
      <c r="F49" s="9">
        <v>-134055640000</v>
      </c>
    </row>
    <row r="50" spans="2:6" x14ac:dyDescent="0.25">
      <c r="B50" t="s">
        <v>47</v>
      </c>
      <c r="C50" s="9">
        <v>438223157000</v>
      </c>
      <c r="D50" s="9">
        <v>410252773000</v>
      </c>
      <c r="E50" s="9">
        <v>362935168000</v>
      </c>
      <c r="F50" s="9">
        <v>337210365000</v>
      </c>
    </row>
    <row r="51" spans="2:6" x14ac:dyDescent="0.25">
      <c r="B51" t="s">
        <v>48</v>
      </c>
      <c r="C51" s="9">
        <v>15232731000</v>
      </c>
      <c r="D51" s="9">
        <v>10148969000</v>
      </c>
      <c r="E51" s="9">
        <v>7530265000</v>
      </c>
      <c r="F51" s="9">
        <v>6632346000</v>
      </c>
    </row>
    <row r="52" spans="2:6" x14ac:dyDescent="0.25">
      <c r="B52" t="s">
        <v>49</v>
      </c>
      <c r="C52" s="9">
        <v>63545003000</v>
      </c>
      <c r="D52" s="9">
        <v>63958072000</v>
      </c>
      <c r="E52" s="9">
        <v>57621419000</v>
      </c>
      <c r="F52" s="9">
        <v>54137508000</v>
      </c>
    </row>
    <row r="53" spans="2:6" x14ac:dyDescent="0.25">
      <c r="B53" t="s">
        <v>50</v>
      </c>
      <c r="C53" s="9">
        <v>203194761000</v>
      </c>
      <c r="D53" s="9">
        <v>183610883000</v>
      </c>
      <c r="E53" s="9">
        <v>160898529000</v>
      </c>
      <c r="F53" s="9">
        <v>146011476000</v>
      </c>
    </row>
    <row r="54" spans="2:6" x14ac:dyDescent="0.25">
      <c r="B54" t="s">
        <v>51</v>
      </c>
      <c r="C54" s="9">
        <v>186360587000</v>
      </c>
      <c r="D54" s="9">
        <v>182133042000</v>
      </c>
      <c r="E54" s="9">
        <v>161919824000</v>
      </c>
      <c r="F54" s="9">
        <v>152179604000</v>
      </c>
    </row>
    <row r="55" spans="2:6" x14ac:dyDescent="0.25">
      <c r="B55" t="s">
        <v>52</v>
      </c>
      <c r="C55" s="9">
        <v>33435078000</v>
      </c>
      <c r="D55" s="9">
        <v>34359879000</v>
      </c>
      <c r="E55" s="9">
        <v>32586550000</v>
      </c>
      <c r="F55" s="9">
        <v>32386939000</v>
      </c>
    </row>
    <row r="56" spans="2:6" x14ac:dyDescent="0.25">
      <c r="B56" t="s">
        <v>53</v>
      </c>
      <c r="C56" s="9">
        <v>164109447000</v>
      </c>
      <c r="D56" s="9">
        <v>173397268000</v>
      </c>
      <c r="E56" s="9">
        <v>159742312000</v>
      </c>
      <c r="F56" s="9">
        <v>154533030000</v>
      </c>
    </row>
    <row r="57" spans="2:6" x14ac:dyDescent="0.25">
      <c r="B57" t="s">
        <v>54</v>
      </c>
      <c r="C57" s="9">
        <v>1432523000</v>
      </c>
      <c r="D57" s="9">
        <v>1326455000</v>
      </c>
      <c r="E57" s="9">
        <v>1024900000</v>
      </c>
      <c r="F57" s="9">
        <v>924796000</v>
      </c>
    </row>
    <row r="58" spans="2:6" x14ac:dyDescent="0.25">
      <c r="B58" t="s">
        <v>55</v>
      </c>
      <c r="C58" s="9">
        <v>0</v>
      </c>
      <c r="D58" s="9">
        <v>0</v>
      </c>
      <c r="E58" s="9">
        <v>924796000</v>
      </c>
      <c r="F58" s="9">
        <v>856849000</v>
      </c>
    </row>
    <row r="59" spans="2:6" x14ac:dyDescent="0.25">
      <c r="B59" t="s">
        <v>56</v>
      </c>
      <c r="C59" s="9">
        <v>107450921000</v>
      </c>
      <c r="D59" s="9">
        <v>110694942000</v>
      </c>
      <c r="E59" s="9">
        <v>95088332000</v>
      </c>
      <c r="F59" s="9">
        <v>89461735000</v>
      </c>
    </row>
    <row r="60" spans="2:6" x14ac:dyDescent="0.25">
      <c r="B60" t="s">
        <v>57</v>
      </c>
      <c r="C60" s="9">
        <v>-255566000</v>
      </c>
      <c r="D60" s="9">
        <v>-183164000</v>
      </c>
      <c r="E60" s="9">
        <v>0</v>
      </c>
      <c r="F60" s="9">
        <v>0</v>
      </c>
    </row>
    <row r="61" spans="2:6" x14ac:dyDescent="0.25">
      <c r="B61" t="s">
        <v>58</v>
      </c>
      <c r="C61" s="9">
        <v>1729948000</v>
      </c>
      <c r="D61" s="9">
        <v>1978509000</v>
      </c>
      <c r="E61" s="9">
        <v>1480082000</v>
      </c>
      <c r="F61" s="9">
        <v>1435803000</v>
      </c>
    </row>
    <row r="62" spans="2:6" x14ac:dyDescent="0.25">
      <c r="B62" t="s">
        <v>59</v>
      </c>
      <c r="C62" s="9">
        <v>105976539000</v>
      </c>
      <c r="D62" s="9">
        <v>108899597000</v>
      </c>
      <c r="E62" s="9">
        <v>93608250000</v>
      </c>
      <c r="F62" s="9">
        <v>88025932000</v>
      </c>
    </row>
    <row r="63" spans="2:6" x14ac:dyDescent="0.25">
      <c r="B63" t="s">
        <v>60</v>
      </c>
      <c r="C63" s="9">
        <v>0</v>
      </c>
      <c r="D63" s="9">
        <v>0</v>
      </c>
      <c r="E63" s="9">
        <v>0</v>
      </c>
      <c r="F63" s="9">
        <v>1315037000</v>
      </c>
    </row>
    <row r="64" spans="2:6" x14ac:dyDescent="0.25">
      <c r="B64" t="s">
        <v>61</v>
      </c>
      <c r="C64" s="9">
        <v>6186599000</v>
      </c>
      <c r="D64" s="9">
        <v>5676423000</v>
      </c>
      <c r="E64" s="9">
        <v>3019170000</v>
      </c>
      <c r="F64" s="9">
        <v>2263599000</v>
      </c>
    </row>
    <row r="65" spans="2:6" x14ac:dyDescent="0.25">
      <c r="B65" t="s">
        <v>62</v>
      </c>
      <c r="C65" s="9">
        <v>16702692000</v>
      </c>
      <c r="D65" s="9">
        <v>16033404000</v>
      </c>
      <c r="E65" s="9">
        <v>15991944000</v>
      </c>
      <c r="F65" s="9">
        <v>12418965000</v>
      </c>
    </row>
    <row r="66" spans="2:6" x14ac:dyDescent="0.25">
      <c r="B66" t="s">
        <v>63</v>
      </c>
      <c r="C66" s="9">
        <v>3745559000</v>
      </c>
      <c r="D66" s="9">
        <v>3152462000</v>
      </c>
      <c r="E66" s="9">
        <v>3948981000</v>
      </c>
      <c r="F66" s="9">
        <v>2036744000</v>
      </c>
    </row>
    <row r="67" spans="2:6" x14ac:dyDescent="0.25">
      <c r="B67" t="s">
        <v>64</v>
      </c>
      <c r="C67" s="9">
        <v>28591153000</v>
      </c>
      <c r="D67" s="9">
        <v>36513582000</v>
      </c>
      <c r="E67" s="9">
        <v>40668985000</v>
      </c>
      <c r="F67" s="9">
        <v>47427191000</v>
      </c>
    </row>
    <row r="68" spans="2:6" x14ac:dyDescent="0.25">
      <c r="B68" t="s">
        <v>65</v>
      </c>
      <c r="C68" s="9">
        <v>28591153000</v>
      </c>
      <c r="D68" s="9">
        <v>36513582000</v>
      </c>
      <c r="E68" s="9">
        <v>40668985000</v>
      </c>
      <c r="F68" s="9">
        <v>47427191000</v>
      </c>
    </row>
    <row r="69" spans="2:6" x14ac:dyDescent="0.25">
      <c r="B69" t="s">
        <v>66</v>
      </c>
      <c r="C69" s="9">
        <v>4936000</v>
      </c>
      <c r="D69" s="9">
        <v>0</v>
      </c>
      <c r="E69" s="9">
        <v>4925413000</v>
      </c>
      <c r="F69" s="9">
        <v>11419015000</v>
      </c>
    </row>
    <row r="70" spans="2:6" x14ac:dyDescent="0.25">
      <c r="B70" t="s">
        <v>67</v>
      </c>
      <c r="C70" s="9">
        <v>28586217000</v>
      </c>
      <c r="D70" s="9">
        <v>36513582000</v>
      </c>
      <c r="E70" s="9">
        <v>35743572000</v>
      </c>
      <c r="F70" s="9">
        <v>36008176000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11FB-C6EC-43F2-9A20-29A7F7FBFBCE}">
  <dimension ref="B1:F47"/>
  <sheetViews>
    <sheetView showGridLines="0" zoomScale="85" zoomScaleNormal="85" workbookViewId="0">
      <selection activeCell="N7" sqref="N7"/>
    </sheetView>
  </sheetViews>
  <sheetFormatPr baseColWidth="10" defaultColWidth="9.140625" defaultRowHeight="15" x14ac:dyDescent="0.25"/>
  <cols>
    <col min="1" max="1" width="2.7109375" customWidth="1"/>
    <col min="2" max="2" width="54.85546875" bestFit="1" customWidth="1"/>
    <col min="3" max="3" width="20.5703125" bestFit="1" customWidth="1"/>
    <col min="4" max="4" width="20.28515625" bestFit="1" customWidth="1"/>
    <col min="5" max="6" width="20" bestFit="1" customWidth="1"/>
  </cols>
  <sheetData>
    <row r="1" spans="2:6" ht="21" x14ac:dyDescent="0.35">
      <c r="B1" s="7" t="s">
        <v>113</v>
      </c>
    </row>
    <row r="2" spans="2:6" x14ac:dyDescent="0.25">
      <c r="B2" s="2"/>
      <c r="C2" s="10">
        <v>46022</v>
      </c>
      <c r="D2" s="10">
        <v>45657</v>
      </c>
      <c r="E2" s="10">
        <v>45291</v>
      </c>
      <c r="F2" s="10">
        <v>44926</v>
      </c>
    </row>
    <row r="3" spans="2:6" x14ac:dyDescent="0.25">
      <c r="B3" s="1" t="s">
        <v>111</v>
      </c>
      <c r="C3" s="3">
        <v>-47673175</v>
      </c>
      <c r="D3" s="3">
        <v>47118288</v>
      </c>
      <c r="E3" s="3">
        <v>-25021960</v>
      </c>
      <c r="F3" s="3">
        <v>17368224</v>
      </c>
    </row>
    <row r="4" spans="2:6" x14ac:dyDescent="0.25">
      <c r="B4" s="1" t="s">
        <v>110</v>
      </c>
      <c r="C4" s="3">
        <v>0.27500000000000002</v>
      </c>
      <c r="D4" s="3">
        <v>0.219</v>
      </c>
      <c r="E4" s="3">
        <v>0.248</v>
      </c>
      <c r="F4" s="3">
        <v>0.22700000000000001</v>
      </c>
    </row>
    <row r="5" spans="2:6" x14ac:dyDescent="0.25">
      <c r="B5" s="1" t="s">
        <v>109</v>
      </c>
      <c r="C5" s="3">
        <v>103118291000</v>
      </c>
      <c r="D5" s="3">
        <v>99949293000</v>
      </c>
      <c r="E5" s="3">
        <v>97121590000</v>
      </c>
      <c r="F5" s="3">
        <v>89699087000</v>
      </c>
    </row>
    <row r="6" spans="2:6" x14ac:dyDescent="0.25">
      <c r="B6" s="1" t="s">
        <v>108</v>
      </c>
      <c r="C6" s="3">
        <v>-173357000</v>
      </c>
      <c r="D6" s="3">
        <v>215152000</v>
      </c>
      <c r="E6" s="3">
        <v>-100895000</v>
      </c>
      <c r="F6" s="3">
        <v>76512000</v>
      </c>
    </row>
    <row r="7" spans="2:6" x14ac:dyDescent="0.25">
      <c r="B7" s="1" t="s">
        <v>107</v>
      </c>
      <c r="C7" s="3">
        <v>-173357000</v>
      </c>
      <c r="D7" s="3">
        <v>215152000</v>
      </c>
      <c r="E7" s="3">
        <v>-100895000</v>
      </c>
      <c r="F7" s="3">
        <v>76512000</v>
      </c>
    </row>
    <row r="8" spans="2:6" x14ac:dyDescent="0.25">
      <c r="B8" s="1" t="s">
        <v>106</v>
      </c>
      <c r="C8" s="3">
        <v>49890741000</v>
      </c>
      <c r="D8" s="3">
        <v>53827384000</v>
      </c>
      <c r="E8" s="3">
        <v>51589989000</v>
      </c>
      <c r="F8" s="3">
        <v>48974184000</v>
      </c>
    </row>
    <row r="9" spans="2:6" x14ac:dyDescent="0.25">
      <c r="B9" s="1" t="s">
        <v>105</v>
      </c>
      <c r="C9" s="3">
        <v>24953131000</v>
      </c>
      <c r="D9" s="3">
        <v>22639474000</v>
      </c>
      <c r="E9" s="3">
        <v>20577439000</v>
      </c>
      <c r="F9" s="3">
        <v>19359205000</v>
      </c>
    </row>
    <row r="10" spans="2:6" x14ac:dyDescent="0.25">
      <c r="B10" s="1" t="s">
        <v>104</v>
      </c>
      <c r="C10" s="3">
        <v>766399989000</v>
      </c>
      <c r="D10" s="3">
        <v>727034273000</v>
      </c>
      <c r="E10" s="3">
        <v>675964861000</v>
      </c>
      <c r="F10" s="3">
        <v>627771101000</v>
      </c>
    </row>
    <row r="11" spans="2:6" ht="15.75" thickBot="1" x14ac:dyDescent="0.3">
      <c r="B11" s="5" t="s">
        <v>103</v>
      </c>
      <c r="C11" s="5">
        <v>102944934000</v>
      </c>
      <c r="D11" s="5">
        <v>100164445000</v>
      </c>
      <c r="E11" s="5">
        <v>97020695000</v>
      </c>
      <c r="F11" s="5">
        <v>89775599000</v>
      </c>
    </row>
    <row r="12" spans="2:6" x14ac:dyDescent="0.25">
      <c r="B12" s="1" t="s">
        <v>102</v>
      </c>
      <c r="C12" s="3">
        <v>77991803000</v>
      </c>
      <c r="D12" s="3">
        <v>77524971000</v>
      </c>
      <c r="E12" s="3">
        <v>76443256000</v>
      </c>
      <c r="F12" s="3">
        <v>70416394000</v>
      </c>
    </row>
    <row r="13" spans="2:6" x14ac:dyDescent="0.25">
      <c r="B13" s="1" t="s">
        <v>101</v>
      </c>
      <c r="C13" s="3">
        <v>-9365332000</v>
      </c>
      <c r="D13" s="3">
        <v>-7904238000</v>
      </c>
      <c r="E13" s="3">
        <v>-4852035000</v>
      </c>
      <c r="F13" s="3">
        <v>-5150071000</v>
      </c>
    </row>
    <row r="14" spans="2:6" x14ac:dyDescent="0.25">
      <c r="B14" s="1" t="s">
        <v>100</v>
      </c>
      <c r="C14" s="3">
        <v>9115155000</v>
      </c>
      <c r="D14" s="3">
        <v>8593484000</v>
      </c>
      <c r="E14" s="3">
        <v>7836519000</v>
      </c>
      <c r="F14" s="3">
        <v>7049835000</v>
      </c>
    </row>
    <row r="15" spans="2:6" x14ac:dyDescent="0.25">
      <c r="B15" s="1" t="s">
        <v>99</v>
      </c>
      <c r="C15" s="3">
        <v>1327640000</v>
      </c>
      <c r="D15" s="3">
        <v>2657187000</v>
      </c>
      <c r="E15" s="3">
        <v>3021084000</v>
      </c>
      <c r="F15" s="3">
        <v>2025182000</v>
      </c>
    </row>
    <row r="16" spans="2:6" x14ac:dyDescent="0.25">
      <c r="B16" s="1" t="s">
        <v>98</v>
      </c>
      <c r="C16" s="3">
        <v>50016424825</v>
      </c>
      <c r="D16" s="3">
        <v>53659350288</v>
      </c>
      <c r="E16" s="3">
        <v>51665862040</v>
      </c>
      <c r="F16" s="3">
        <v>48915040224</v>
      </c>
    </row>
    <row r="17" spans="2:6" x14ac:dyDescent="0.25">
      <c r="B17" s="1" t="s">
        <v>97</v>
      </c>
      <c r="C17" s="3">
        <v>49890741000</v>
      </c>
      <c r="D17" s="3">
        <v>53827384000</v>
      </c>
      <c r="E17" s="3">
        <v>51589989000</v>
      </c>
      <c r="F17" s="3">
        <v>48974184000</v>
      </c>
    </row>
    <row r="18" spans="2:6" x14ac:dyDescent="0.25">
      <c r="B18" s="1" t="s">
        <v>96</v>
      </c>
      <c r="C18" s="3">
        <v>932309956000</v>
      </c>
      <c r="D18" s="3">
        <v>880165508000</v>
      </c>
      <c r="E18" s="3">
        <v>812463838000</v>
      </c>
      <c r="F18" s="3">
        <v>750214019000</v>
      </c>
    </row>
    <row r="19" spans="2:6" x14ac:dyDescent="0.25">
      <c r="B19" s="1" t="s">
        <v>95</v>
      </c>
      <c r="C19" s="3">
        <v>78493750000</v>
      </c>
      <c r="D19" s="3">
        <v>77358988000</v>
      </c>
      <c r="E19" s="3">
        <v>73275983000</v>
      </c>
      <c r="F19" s="3">
        <v>68011617000</v>
      </c>
    </row>
    <row r="20" spans="2:6" x14ac:dyDescent="0.25">
      <c r="B20" s="1" t="s">
        <v>94</v>
      </c>
      <c r="C20" s="3">
        <v>17365381483</v>
      </c>
      <c r="D20" s="3">
        <v>17448098541</v>
      </c>
      <c r="E20" s="3">
        <v>17458541117</v>
      </c>
      <c r="F20" s="3">
        <v>17459602139</v>
      </c>
    </row>
    <row r="21" spans="2:6" x14ac:dyDescent="0.25">
      <c r="B21" s="1" t="s">
        <v>93</v>
      </c>
      <c r="C21" s="3">
        <v>17365381483</v>
      </c>
      <c r="D21" s="3">
        <v>17448098541</v>
      </c>
      <c r="E21" s="3">
        <v>17458541117</v>
      </c>
      <c r="F21" s="3">
        <v>17459602139</v>
      </c>
    </row>
    <row r="22" spans="2:6" x14ac:dyDescent="0.25">
      <c r="B22" s="1" t="s">
        <v>92</v>
      </c>
      <c r="C22" s="3">
        <v>2.8730000000000002</v>
      </c>
      <c r="D22" s="3">
        <v>3.085</v>
      </c>
      <c r="E22" s="3">
        <v>2.9550000000000001</v>
      </c>
      <c r="F22" s="3">
        <v>2.8050000000000002</v>
      </c>
    </row>
    <row r="23" spans="2:6" x14ac:dyDescent="0.25">
      <c r="B23" s="1" t="s">
        <v>91</v>
      </c>
      <c r="C23" s="3">
        <v>2.8730000000000002</v>
      </c>
      <c r="D23" s="3">
        <v>3.085</v>
      </c>
      <c r="E23" s="3">
        <v>2.9550000000000001</v>
      </c>
      <c r="F23" s="3">
        <v>2.8050000000000002</v>
      </c>
    </row>
    <row r="24" spans="2:6" x14ac:dyDescent="0.25">
      <c r="B24" s="1" t="s">
        <v>90</v>
      </c>
      <c r="C24" s="3">
        <v>49890741000</v>
      </c>
      <c r="D24" s="3">
        <v>53827384000</v>
      </c>
      <c r="E24" s="3">
        <v>51589989000</v>
      </c>
      <c r="F24" s="3">
        <v>48974184000</v>
      </c>
    </row>
    <row r="25" spans="2:6" x14ac:dyDescent="0.25">
      <c r="B25" s="1" t="s">
        <v>89</v>
      </c>
      <c r="C25" s="3">
        <v>49890741000</v>
      </c>
      <c r="D25" s="3">
        <v>53827384000</v>
      </c>
      <c r="E25" s="3">
        <v>51589989000</v>
      </c>
      <c r="F25" s="3">
        <v>48974184000</v>
      </c>
    </row>
    <row r="26" spans="2:6" ht="15.75" thickBot="1" x14ac:dyDescent="0.3">
      <c r="B26" s="5" t="s">
        <v>88</v>
      </c>
      <c r="C26" s="5">
        <v>49890741000</v>
      </c>
      <c r="D26" s="5">
        <v>53827384000</v>
      </c>
      <c r="E26" s="5">
        <v>51589989000</v>
      </c>
      <c r="F26" s="5">
        <v>48974184000</v>
      </c>
    </row>
    <row r="27" spans="2:6" x14ac:dyDescent="0.25">
      <c r="B27" s="1" t="s">
        <v>87</v>
      </c>
      <c r="C27" s="3">
        <v>49890741000</v>
      </c>
      <c r="D27" s="3">
        <v>53827384000</v>
      </c>
      <c r="E27" s="3">
        <v>51589989000</v>
      </c>
      <c r="F27" s="3">
        <v>48974184000</v>
      </c>
    </row>
    <row r="28" spans="2:6" x14ac:dyDescent="0.25">
      <c r="B28" s="1" t="s">
        <v>86</v>
      </c>
      <c r="C28" s="3">
        <v>49890741000</v>
      </c>
      <c r="D28" s="3">
        <v>53827384000</v>
      </c>
      <c r="E28" s="3">
        <v>51589989000</v>
      </c>
      <c r="F28" s="3">
        <v>48974184000</v>
      </c>
    </row>
    <row r="29" spans="2:6" x14ac:dyDescent="0.25">
      <c r="B29" s="1" t="s">
        <v>85</v>
      </c>
      <c r="C29" s="3">
        <v>18985907000</v>
      </c>
      <c r="D29" s="3">
        <v>15104103000</v>
      </c>
      <c r="E29" s="3">
        <v>17016748000</v>
      </c>
      <c r="F29" s="3">
        <v>14392375000</v>
      </c>
    </row>
    <row r="30" spans="2:6" x14ac:dyDescent="0.25">
      <c r="B30" s="1" t="s">
        <v>84</v>
      </c>
      <c r="C30" s="3">
        <v>68876648000</v>
      </c>
      <c r="D30" s="3">
        <v>68931487000</v>
      </c>
      <c r="E30" s="3">
        <v>68606737000</v>
      </c>
      <c r="F30" s="3">
        <v>63366559000</v>
      </c>
    </row>
    <row r="31" spans="2:6" x14ac:dyDescent="0.25">
      <c r="B31" s="1" t="s">
        <v>83</v>
      </c>
      <c r="C31" s="3">
        <v>-9365332000</v>
      </c>
      <c r="D31" s="3">
        <v>-7904238000</v>
      </c>
      <c r="E31" s="3">
        <v>-4852035000</v>
      </c>
      <c r="F31" s="3">
        <v>-5150071000</v>
      </c>
    </row>
    <row r="32" spans="2:6" x14ac:dyDescent="0.25">
      <c r="B32" s="1" t="s">
        <v>82</v>
      </c>
      <c r="C32" s="3">
        <v>1577817000</v>
      </c>
      <c r="D32" s="3">
        <v>1967941000</v>
      </c>
      <c r="E32" s="3">
        <v>36600000</v>
      </c>
      <c r="F32" s="3">
        <v>125418000</v>
      </c>
    </row>
    <row r="33" spans="2:6" x14ac:dyDescent="0.25">
      <c r="B33" s="1" t="s">
        <v>81</v>
      </c>
      <c r="C33" s="3">
        <v>9115155000</v>
      </c>
      <c r="D33" s="3">
        <v>8593484000</v>
      </c>
      <c r="E33" s="3">
        <v>7836519000</v>
      </c>
      <c r="F33" s="3">
        <v>7049835000</v>
      </c>
    </row>
    <row r="34" spans="2:6" x14ac:dyDescent="0.25">
      <c r="B34" s="1" t="s">
        <v>80</v>
      </c>
      <c r="C34" s="3">
        <v>1327640000</v>
      </c>
      <c r="D34" s="3">
        <v>2657187000</v>
      </c>
      <c r="E34" s="3">
        <v>3021084000</v>
      </c>
      <c r="F34" s="3">
        <v>2025182000</v>
      </c>
    </row>
    <row r="35" spans="2:6" x14ac:dyDescent="0.25">
      <c r="B35" s="1" t="s">
        <v>79</v>
      </c>
      <c r="C35" s="3">
        <v>78493750000</v>
      </c>
      <c r="D35" s="3">
        <v>77358988000</v>
      </c>
      <c r="E35" s="3">
        <v>73275983000</v>
      </c>
      <c r="F35" s="3">
        <v>68011617000</v>
      </c>
    </row>
    <row r="36" spans="2:6" x14ac:dyDescent="0.25">
      <c r="B36" s="1" t="s">
        <v>78</v>
      </c>
      <c r="C36" s="3">
        <v>165909967000</v>
      </c>
      <c r="D36" s="3">
        <v>153131235000</v>
      </c>
      <c r="E36" s="3">
        <v>136498977000</v>
      </c>
      <c r="F36" s="3">
        <v>122442918000</v>
      </c>
    </row>
    <row r="37" spans="2:6" x14ac:dyDescent="0.25">
      <c r="B37" s="1" t="s">
        <v>77</v>
      </c>
      <c r="C37" s="3">
        <v>1053455000</v>
      </c>
      <c r="D37" s="3">
        <v>813111000</v>
      </c>
      <c r="E37" s="3">
        <v>2074787000</v>
      </c>
      <c r="F37" s="3">
        <v>723099000</v>
      </c>
    </row>
    <row r="38" spans="2:6" x14ac:dyDescent="0.25">
      <c r="B38" s="1" t="s">
        <v>76</v>
      </c>
      <c r="C38" s="3">
        <v>23814609000</v>
      </c>
      <c r="D38" s="3">
        <v>21531482000</v>
      </c>
      <c r="E38" s="3">
        <v>0</v>
      </c>
      <c r="F38" s="3">
        <v>0</v>
      </c>
    </row>
    <row r="39" spans="2:6" x14ac:dyDescent="0.25">
      <c r="B39" s="1" t="s">
        <v>75</v>
      </c>
      <c r="C39" s="3">
        <v>23814609000</v>
      </c>
      <c r="D39" s="3">
        <v>21531482000</v>
      </c>
      <c r="E39" s="3">
        <v>0</v>
      </c>
      <c r="F39" s="3">
        <v>0</v>
      </c>
    </row>
    <row r="40" spans="2:6" x14ac:dyDescent="0.25">
      <c r="B40" s="1" t="s">
        <v>74</v>
      </c>
      <c r="C40" s="3">
        <v>67774579000</v>
      </c>
      <c r="D40" s="3">
        <v>62800902000</v>
      </c>
      <c r="E40" s="3">
        <v>136746969000</v>
      </c>
      <c r="F40" s="3">
        <v>124693340000</v>
      </c>
    </row>
    <row r="41" spans="2:6" x14ac:dyDescent="0.25">
      <c r="B41" s="1" t="s">
        <v>73</v>
      </c>
      <c r="C41" s="3">
        <v>7550983000</v>
      </c>
      <c r="D41" s="3">
        <v>6928259000</v>
      </c>
      <c r="E41" s="3">
        <v>0</v>
      </c>
      <c r="F41" s="3">
        <v>0</v>
      </c>
    </row>
    <row r="42" spans="2:6" x14ac:dyDescent="0.25">
      <c r="B42" s="1" t="s">
        <v>72</v>
      </c>
      <c r="C42" s="3">
        <v>60223596000</v>
      </c>
      <c r="D42" s="3">
        <v>55872643000</v>
      </c>
      <c r="E42" s="3">
        <v>136746969000</v>
      </c>
      <c r="F42" s="3">
        <v>124693340000</v>
      </c>
    </row>
    <row r="43" spans="2:6" ht="15.75" thickBot="1" x14ac:dyDescent="0.3">
      <c r="B43" s="5" t="s">
        <v>71</v>
      </c>
      <c r="C43" s="5">
        <v>244403717000</v>
      </c>
      <c r="D43" s="5">
        <v>230490223000</v>
      </c>
      <c r="E43" s="5">
        <v>209774960000</v>
      </c>
      <c r="F43" s="5">
        <v>190454535000</v>
      </c>
    </row>
    <row r="44" spans="2:6" x14ac:dyDescent="0.25">
      <c r="B44" s="1" t="s">
        <v>70</v>
      </c>
      <c r="C44" s="3">
        <v>766399989000</v>
      </c>
      <c r="D44" s="3">
        <v>727034273000</v>
      </c>
      <c r="E44" s="3">
        <v>675964861000</v>
      </c>
      <c r="F44" s="3">
        <v>627771101000</v>
      </c>
    </row>
    <row r="45" spans="2:6" ht="15.75" thickBot="1" x14ac:dyDescent="0.3">
      <c r="B45" s="5" t="s">
        <v>69</v>
      </c>
      <c r="C45" s="5">
        <v>1010803706000</v>
      </c>
      <c r="D45" s="5">
        <v>957524496000</v>
      </c>
      <c r="E45" s="5">
        <v>885739821000</v>
      </c>
      <c r="F45" s="5">
        <v>818225636000</v>
      </c>
    </row>
    <row r="46" spans="2:6" ht="16.5" thickTop="1" thickBot="1" x14ac:dyDescent="0.3">
      <c r="B46" s="6" t="s">
        <v>68</v>
      </c>
      <c r="C46" s="6">
        <v>1010803706000</v>
      </c>
      <c r="D46" s="6">
        <v>957524496000</v>
      </c>
      <c r="E46" s="6">
        <v>885739821000</v>
      </c>
      <c r="F46" s="6">
        <v>818225636000</v>
      </c>
    </row>
    <row r="47" spans="2:6" ht="15.75" thickTop="1" x14ac:dyDescent="0.25">
      <c r="C47" s="4"/>
      <c r="D47" s="4"/>
      <c r="E47" s="4"/>
      <c r="F47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C148-93F3-4DDB-BC85-0DFDB22BD2D7}">
  <dimension ref="B2:U18"/>
  <sheetViews>
    <sheetView showGridLines="0" zoomScale="70" zoomScaleNormal="70" workbookViewId="0">
      <selection activeCell="H10" sqref="H10:L13"/>
    </sheetView>
  </sheetViews>
  <sheetFormatPr baseColWidth="10" defaultColWidth="9.140625" defaultRowHeight="15" x14ac:dyDescent="0.25"/>
  <cols>
    <col min="1" max="1" width="3.140625" style="1" customWidth="1"/>
    <col min="2" max="2" width="25.42578125" style="1" bestFit="1" customWidth="1"/>
    <col min="3" max="3" width="20.5703125" bestFit="1" customWidth="1"/>
    <col min="4" max="6" width="19.140625" style="1" bestFit="1" customWidth="1"/>
    <col min="7" max="7" width="9.140625" style="1"/>
    <col min="8" max="8" width="39" style="1" customWidth="1"/>
    <col min="9" max="10" width="19.140625" style="1" bestFit="1" customWidth="1"/>
    <col min="11" max="11" width="19.140625" bestFit="1" customWidth="1"/>
    <col min="12" max="12" width="19.140625" style="1" bestFit="1" customWidth="1"/>
    <col min="13" max="16" width="9.140625" style="1"/>
    <col min="22" max="16384" width="9.140625" style="1"/>
  </cols>
  <sheetData>
    <row r="2" spans="2:12" ht="21" x14ac:dyDescent="0.35">
      <c r="B2" s="7" t="s">
        <v>113</v>
      </c>
      <c r="C2" s="1">
        <v>2</v>
      </c>
      <c r="D2" s="1">
        <v>3</v>
      </c>
      <c r="E2">
        <v>4</v>
      </c>
      <c r="F2" s="1">
        <v>5</v>
      </c>
      <c r="H2" s="7" t="s">
        <v>112</v>
      </c>
      <c r="I2" s="1">
        <v>2</v>
      </c>
      <c r="J2" s="1">
        <v>3</v>
      </c>
      <c r="K2">
        <v>4</v>
      </c>
      <c r="L2" s="1">
        <v>5</v>
      </c>
    </row>
    <row r="3" spans="2:12" x14ac:dyDescent="0.25">
      <c r="C3" s="14">
        <v>2025</v>
      </c>
      <c r="D3" s="14">
        <v>2024</v>
      </c>
      <c r="E3" s="15">
        <v>2023</v>
      </c>
      <c r="F3" s="14">
        <v>2022</v>
      </c>
      <c r="I3" s="14">
        <v>2025</v>
      </c>
      <c r="J3" s="14">
        <v>2024</v>
      </c>
      <c r="K3" s="15">
        <v>2023</v>
      </c>
      <c r="L3" s="14">
        <v>2022</v>
      </c>
    </row>
    <row r="4" spans="2:12" x14ac:dyDescent="0.25">
      <c r="B4" s="11" t="s">
        <v>103</v>
      </c>
      <c r="C4" s="13">
        <f>VLOOKUP($B4,income_statement!$B$2:$F$46,Trends!C$2,FALSE)</f>
        <v>102944934000</v>
      </c>
      <c r="D4" s="13">
        <f>VLOOKUP($B4,income_statement!$B$2:$F$46,Trends!D$2,FALSE)</f>
        <v>100164445000</v>
      </c>
      <c r="E4" s="13">
        <f>VLOOKUP($B4,income_statement!$B$2:$F$46,Trends!E$2,FALSE)</f>
        <v>97020695000</v>
      </c>
      <c r="F4" s="13">
        <f>VLOOKUP($B4,income_statement!$B$2:$F$46,Trends!F$2,FALSE)</f>
        <v>89775599000</v>
      </c>
      <c r="H4" s="11" t="s">
        <v>11</v>
      </c>
      <c r="I4" s="13">
        <f>VLOOKUP($H4,balance_sheet!$B$2:$F$70,I$2,FALSE)</f>
        <v>235580061000</v>
      </c>
      <c r="J4" s="13">
        <f>VLOOKUP($H$4,balance_sheet!$B$2:$F$70,J$2,FALSE)</f>
        <v>232875469000</v>
      </c>
      <c r="K4" s="13">
        <f>VLOOKUP($H$4,balance_sheet!$B$2:$F$70,K$2,FALSE)</f>
        <v>199086037000</v>
      </c>
      <c r="L4" s="13">
        <f>VLOOKUP($H$4,balance_sheet!$B$2:$F$70,L$2,FALSE)</f>
        <v>202468383000</v>
      </c>
    </row>
    <row r="5" spans="2:12" x14ac:dyDescent="0.25">
      <c r="B5" s="11" t="s">
        <v>88</v>
      </c>
      <c r="C5" s="13">
        <f>VLOOKUP($B5,income_statement!$B$2:$F$46,Trends!C$2,FALSE)</f>
        <v>49890741000</v>
      </c>
      <c r="D5" s="13">
        <f>VLOOKUP($B5,income_statement!$B$2:$F$46,Trends!D$2,FALSE)</f>
        <v>53827384000</v>
      </c>
      <c r="E5" s="13">
        <f>VLOOKUP($B5,income_statement!$B$2:$F$46,Trends!E$2,FALSE)</f>
        <v>51589989000</v>
      </c>
      <c r="F5" s="13">
        <f>VLOOKUP($B5,income_statement!$B$2:$F$46,Trends!F$2,FALSE)</f>
        <v>48974184000</v>
      </c>
      <c r="H5" s="11" t="s">
        <v>17</v>
      </c>
      <c r="I5" s="13">
        <f>VLOOKUP($H5,balance_sheet!$B$2:$F$70,I$2,FALSE)</f>
        <v>259693202000</v>
      </c>
      <c r="J5" s="13">
        <f>VLOOKUP($H5,balance_sheet!$B$2:$F$70,J$2,FALSE)</f>
        <v>261017596000</v>
      </c>
      <c r="K5" s="13">
        <f>VLOOKUP($H5,balance_sheet!$B$2:$F$70,K$2,FALSE)</f>
        <v>237460579000</v>
      </c>
      <c r="L5" s="13">
        <f>VLOOKUP($H5,balance_sheet!$B$2:$F$70,L$2,FALSE)</f>
        <v>216339988000</v>
      </c>
    </row>
    <row r="6" spans="2:12" x14ac:dyDescent="0.25">
      <c r="B6" s="11" t="s">
        <v>71</v>
      </c>
      <c r="C6" s="13">
        <f>VLOOKUP($B6,income_statement!$B$2:$F$46,Trends!C$2,FALSE)</f>
        <v>244403717000</v>
      </c>
      <c r="D6" s="13">
        <f>VLOOKUP($B6,income_statement!$B$2:$F$46,Trends!D$2,FALSE)</f>
        <v>230490223000</v>
      </c>
      <c r="E6" s="13">
        <f>VLOOKUP($B6,income_statement!$B$2:$F$46,Trends!E$2,FALSE)</f>
        <v>209774960000</v>
      </c>
      <c r="F6" s="13">
        <f>VLOOKUP($B6,income_statement!$B$2:$F$46,Trends!F$2,FALSE)</f>
        <v>190454535000</v>
      </c>
      <c r="H6" s="11" t="s">
        <v>35</v>
      </c>
      <c r="I6" s="13">
        <f>VLOOKUP($H6,balance_sheet!$B$2:$F$70,I$2,FALSE)</f>
        <v>495273263000</v>
      </c>
      <c r="J6" s="13">
        <f>VLOOKUP($H6,balance_sheet!$B$2:$F$70,J$2,FALSE)</f>
        <v>493893065000</v>
      </c>
      <c r="K6" s="13">
        <f>VLOOKUP($H6,balance_sheet!$B$2:$F$70,K$2,FALSE)</f>
        <v>436546616000</v>
      </c>
      <c r="L6" s="13">
        <f>VLOOKUP($H6,balance_sheet!$B$2:$F$70,L$2,FALSE)</f>
        <v>418808371000</v>
      </c>
    </row>
    <row r="7" spans="2:12" x14ac:dyDescent="0.25">
      <c r="B7" s="11" t="s">
        <v>69</v>
      </c>
      <c r="C7" s="13">
        <f>VLOOKUP($B7,income_statement!$B$2:$F$46,Trends!C$2,FALSE)</f>
        <v>1010803706000</v>
      </c>
      <c r="D7" s="13">
        <f>VLOOKUP($B7,income_statement!$B$2:$F$46,Trends!D$2,FALSE)</f>
        <v>957524496000</v>
      </c>
      <c r="E7" s="13">
        <f>VLOOKUP($B7,income_statement!$B$2:$F$46,Trends!E$2,FALSE)</f>
        <v>885739821000</v>
      </c>
      <c r="F7" s="13">
        <f>VLOOKUP($B7,income_statement!$B$2:$F$46,Trends!F$2,FALSE)</f>
        <v>818225636000</v>
      </c>
    </row>
    <row r="8" spans="2:12" x14ac:dyDescent="0.25">
      <c r="H8" s="1" t="s">
        <v>123</v>
      </c>
    </row>
    <row r="9" spans="2:12" x14ac:dyDescent="0.25">
      <c r="B9" s="2" t="s">
        <v>116</v>
      </c>
      <c r="H9" s="2" t="s">
        <v>124</v>
      </c>
    </row>
    <row r="10" spans="2:12" x14ac:dyDescent="0.25">
      <c r="B10" s="11" t="s">
        <v>117</v>
      </c>
      <c r="C10" s="17">
        <f>C5/C7</f>
        <v>4.9357497112302834E-2</v>
      </c>
      <c r="D10" s="17">
        <f>D5/D7</f>
        <v>5.6215150865445845E-2</v>
      </c>
      <c r="E10" s="17">
        <f>E5/E7</f>
        <v>5.8245082559069003E-2</v>
      </c>
      <c r="F10" s="17">
        <f>F5/F7</f>
        <v>5.9854130505390325E-2</v>
      </c>
      <c r="H10" s="11" t="s">
        <v>125</v>
      </c>
      <c r="I10" s="18">
        <f>I5/I4</f>
        <v>1.1023564596156548</v>
      </c>
      <c r="J10" s="18">
        <f>J5/J4</f>
        <v>1.1208462493745961</v>
      </c>
      <c r="K10" s="18">
        <f>K5/K4</f>
        <v>1.1927535581011139</v>
      </c>
      <c r="L10" s="18">
        <f>L5/L4</f>
        <v>1.0685124501636387</v>
      </c>
    </row>
    <row r="11" spans="2:12" ht="15" customHeight="1" x14ac:dyDescent="0.25">
      <c r="B11" s="19" t="s">
        <v>118</v>
      </c>
      <c r="H11" s="20" t="s">
        <v>128</v>
      </c>
    </row>
    <row r="12" spans="2:12" ht="21" customHeight="1" x14ac:dyDescent="0.25">
      <c r="B12" s="19"/>
      <c r="H12" s="20"/>
    </row>
    <row r="13" spans="2:12" x14ac:dyDescent="0.25">
      <c r="B13" s="11" t="s">
        <v>119</v>
      </c>
      <c r="C13" s="17">
        <f>C5/I4</f>
        <v>0.21177828373174587</v>
      </c>
      <c r="D13" s="17">
        <f>D5/J4</f>
        <v>0.23114235359843763</v>
      </c>
      <c r="E13" s="17">
        <f>E5/K4</f>
        <v>0.25913414008035129</v>
      </c>
      <c r="F13" s="17">
        <f>F5/L4</f>
        <v>0.24188558862545961</v>
      </c>
      <c r="H13" s="11" t="s">
        <v>126</v>
      </c>
      <c r="I13" s="18">
        <f>I5/I6</f>
        <v>0.52434326946496201</v>
      </c>
      <c r="J13" s="18">
        <f>J5/J6</f>
        <v>0.52849010139472197</v>
      </c>
      <c r="K13" s="18">
        <f>K5/K6</f>
        <v>0.54395239888882796</v>
      </c>
      <c r="L13" s="18">
        <f>L5/L6</f>
        <v>0.51656080198072263</v>
      </c>
    </row>
    <row r="14" spans="2:12" ht="24.75" customHeight="1" x14ac:dyDescent="0.25">
      <c r="B14" s="20" t="s">
        <v>120</v>
      </c>
      <c r="H14" s="1" t="s">
        <v>127</v>
      </c>
    </row>
    <row r="15" spans="2:12" x14ac:dyDescent="0.25">
      <c r="B15" s="20"/>
    </row>
    <row r="16" spans="2:12" x14ac:dyDescent="0.25">
      <c r="B16" s="11" t="s">
        <v>121</v>
      </c>
      <c r="C16" s="17">
        <f>C5/I6</f>
        <v>0.10073376603816386</v>
      </c>
      <c r="D16" s="17">
        <f>D5/J6</f>
        <v>0.10898590770858466</v>
      </c>
      <c r="E16" s="17">
        <f>E5/K6</f>
        <v>0.11817750294965063</v>
      </c>
      <c r="F16" s="17">
        <f>F5/L6</f>
        <v>0.11693697497751304</v>
      </c>
    </row>
    <row r="17" spans="2:7" ht="15" customHeight="1" x14ac:dyDescent="0.25">
      <c r="B17" s="20" t="s">
        <v>122</v>
      </c>
      <c r="G17" s="16"/>
    </row>
    <row r="18" spans="2:7" x14ac:dyDescent="0.25">
      <c r="B18" s="20"/>
    </row>
  </sheetData>
  <mergeCells count="4">
    <mergeCell ref="B11:B12"/>
    <mergeCell ref="B14:B15"/>
    <mergeCell ref="B17:B18"/>
    <mergeCell ref="H11:H12"/>
  </mergeCells>
  <conditionalFormatting sqref="C10:F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F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F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L10">
    <cfRule type="colorScale" priority="3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I13:L13">
    <cfRule type="colorScale" priority="1">
      <colorScale>
        <cfvo type="min"/>
        <cfvo type="percentile" val="50"/>
        <cfvo type="max"/>
        <color rgb="FF92D050"/>
        <color rgb="FFFFEB84"/>
        <color rgb="FFFF0000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2C14-2AA7-4D81-A8C7-180AC9A5A51B}">
  <dimension ref="A1:E5"/>
  <sheetViews>
    <sheetView tabSelected="1" workbookViewId="0">
      <selection activeCell="E6" sqref="E6"/>
    </sheetView>
  </sheetViews>
  <sheetFormatPr baseColWidth="10" defaultRowHeight="15" x14ac:dyDescent="0.25"/>
  <cols>
    <col min="1" max="1" width="14.140625" bestFit="1" customWidth="1"/>
    <col min="2" max="2" width="20.42578125" bestFit="1" customWidth="1"/>
    <col min="3" max="4" width="19" bestFit="1" customWidth="1"/>
    <col min="5" max="5" width="20.42578125" bestFit="1" customWidth="1"/>
  </cols>
  <sheetData>
    <row r="1" spans="1:5" x14ac:dyDescent="0.25">
      <c r="A1" s="1"/>
      <c r="B1" s="11" t="s">
        <v>103</v>
      </c>
      <c r="C1" s="11" t="s">
        <v>88</v>
      </c>
      <c r="D1" s="11" t="s">
        <v>71</v>
      </c>
      <c r="E1" s="11" t="s">
        <v>69</v>
      </c>
    </row>
    <row r="2" spans="1:5" x14ac:dyDescent="0.25">
      <c r="A2" s="14">
        <v>2025</v>
      </c>
      <c r="B2" s="13">
        <v>102944934000</v>
      </c>
      <c r="C2" s="13">
        <v>49890741000</v>
      </c>
      <c r="D2" s="13">
        <v>244403717000</v>
      </c>
      <c r="E2" s="13">
        <v>1010803706000</v>
      </c>
    </row>
    <row r="3" spans="1:5" x14ac:dyDescent="0.25">
      <c r="A3" s="14">
        <v>2024</v>
      </c>
      <c r="B3" s="13">
        <v>100164445000</v>
      </c>
      <c r="C3" s="13">
        <v>53827384000</v>
      </c>
      <c r="D3" s="13">
        <v>230490223000</v>
      </c>
      <c r="E3" s="13">
        <v>957524496000</v>
      </c>
    </row>
    <row r="4" spans="1:5" x14ac:dyDescent="0.25">
      <c r="A4" s="15">
        <v>2023</v>
      </c>
      <c r="B4" s="13">
        <v>97020695000</v>
      </c>
      <c r="C4" s="13">
        <v>51589989000</v>
      </c>
      <c r="D4" s="13">
        <v>209774960000</v>
      </c>
      <c r="E4" s="13">
        <v>885739821000</v>
      </c>
    </row>
    <row r="5" spans="1:5" x14ac:dyDescent="0.25">
      <c r="A5" s="14">
        <v>2022</v>
      </c>
      <c r="B5" s="13">
        <v>89775599000</v>
      </c>
      <c r="C5" s="13">
        <v>48974184000</v>
      </c>
      <c r="D5" s="13">
        <v>190454535000</v>
      </c>
      <c r="E5" s="13">
        <v>818225636000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EB41-2368-4E43-A073-D6EB5915C891}">
  <dimension ref="A1:D5"/>
  <sheetViews>
    <sheetView workbookViewId="0">
      <selection activeCell="B10" sqref="B10"/>
    </sheetView>
  </sheetViews>
  <sheetFormatPr baseColWidth="10" defaultRowHeight="15" x14ac:dyDescent="0.25"/>
  <cols>
    <col min="2" max="5" width="19" bestFit="1" customWidth="1"/>
  </cols>
  <sheetData>
    <row r="1" spans="1:4" x14ac:dyDescent="0.25">
      <c r="A1" s="1"/>
      <c r="B1" s="11" t="s">
        <v>11</v>
      </c>
      <c r="C1" s="11" t="s">
        <v>17</v>
      </c>
      <c r="D1" s="11" t="s">
        <v>35</v>
      </c>
    </row>
    <row r="2" spans="1:4" x14ac:dyDescent="0.25">
      <c r="A2" s="14">
        <v>2025</v>
      </c>
      <c r="B2" s="13">
        <v>235580061000</v>
      </c>
      <c r="C2" s="13">
        <v>259693202000</v>
      </c>
      <c r="D2" s="13">
        <v>495273263000</v>
      </c>
    </row>
    <row r="3" spans="1:4" x14ac:dyDescent="0.25">
      <c r="A3" s="14">
        <v>2024</v>
      </c>
      <c r="B3" s="13">
        <v>232875469000</v>
      </c>
      <c r="C3" s="13">
        <v>261017596000</v>
      </c>
      <c r="D3" s="13">
        <v>493893065000</v>
      </c>
    </row>
    <row r="4" spans="1:4" x14ac:dyDescent="0.25">
      <c r="A4" s="15">
        <v>2023</v>
      </c>
      <c r="B4" s="13">
        <v>199086037000</v>
      </c>
      <c r="C4" s="13">
        <v>237460579000</v>
      </c>
      <c r="D4" s="13">
        <v>436546616000</v>
      </c>
    </row>
    <row r="5" spans="1:4" x14ac:dyDescent="0.25">
      <c r="A5" s="14">
        <v>2022</v>
      </c>
      <c r="B5" s="13">
        <v>202468383000</v>
      </c>
      <c r="C5" s="13">
        <v>216339988000</v>
      </c>
      <c r="D5" s="13">
        <v>418808371000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42AE-ABC8-4B54-8BD6-AFCD246195E1}">
  <dimension ref="A1:D5"/>
  <sheetViews>
    <sheetView workbookViewId="0">
      <selection sqref="A1:XFD4"/>
    </sheetView>
  </sheetViews>
  <sheetFormatPr baseColWidth="10" defaultRowHeight="15" x14ac:dyDescent="0.25"/>
  <cols>
    <col min="1" max="1" width="5" bestFit="1" customWidth="1"/>
    <col min="2" max="5" width="12" bestFit="1" customWidth="1"/>
  </cols>
  <sheetData>
    <row r="1" spans="1:4" x14ac:dyDescent="0.25">
      <c r="A1" s="1"/>
      <c r="B1" t="s">
        <v>117</v>
      </c>
      <c r="C1" t="s">
        <v>119</v>
      </c>
      <c r="D1" t="s">
        <v>121</v>
      </c>
    </row>
    <row r="2" spans="1:4" x14ac:dyDescent="0.25">
      <c r="A2" s="14">
        <v>2025</v>
      </c>
      <c r="B2" s="17">
        <v>4.9357497112302834E-2</v>
      </c>
      <c r="C2" s="17">
        <v>0.21177828373174587</v>
      </c>
      <c r="D2" s="17">
        <v>0.10073376603816386</v>
      </c>
    </row>
    <row r="3" spans="1:4" x14ac:dyDescent="0.25">
      <c r="A3" s="14">
        <v>2024</v>
      </c>
      <c r="B3" s="17">
        <v>5.6215150865445845E-2</v>
      </c>
      <c r="C3" s="17">
        <v>0.23114235359843763</v>
      </c>
      <c r="D3" s="17">
        <v>0.10898590770858466</v>
      </c>
    </row>
    <row r="4" spans="1:4" x14ac:dyDescent="0.25">
      <c r="A4" s="15">
        <v>2023</v>
      </c>
      <c r="B4" s="17">
        <v>5.8245082559069003E-2</v>
      </c>
      <c r="C4" s="17">
        <v>0.25913414008035129</v>
      </c>
      <c r="D4" s="17">
        <v>0.11817750294965063</v>
      </c>
    </row>
    <row r="5" spans="1:4" x14ac:dyDescent="0.25">
      <c r="A5" s="14">
        <v>2022</v>
      </c>
      <c r="B5" s="17">
        <v>5.9854130505390325E-2</v>
      </c>
      <c r="C5" s="17">
        <v>0.24188558862545961</v>
      </c>
      <c r="D5" s="17">
        <v>0.11693697497751304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CAC3-58EE-4C43-9F0E-E2B54889A2AA}">
  <dimension ref="A1:C5"/>
  <sheetViews>
    <sheetView workbookViewId="0">
      <selection activeCell="D9" sqref="D9"/>
    </sheetView>
  </sheetViews>
  <sheetFormatPr baseColWidth="10" defaultRowHeight="15" x14ac:dyDescent="0.25"/>
  <cols>
    <col min="2" max="3" width="15.7109375" customWidth="1"/>
    <col min="4" max="5" width="12" bestFit="1" customWidth="1"/>
  </cols>
  <sheetData>
    <row r="1" spans="1:3" x14ac:dyDescent="0.25">
      <c r="A1" s="1"/>
      <c r="B1" t="s">
        <v>125</v>
      </c>
      <c r="C1" t="s">
        <v>126</v>
      </c>
    </row>
    <row r="2" spans="1:3" x14ac:dyDescent="0.25">
      <c r="A2" s="14">
        <v>2025</v>
      </c>
      <c r="B2">
        <v>1.1023564596156548</v>
      </c>
      <c r="C2">
        <v>0.52434326946496201</v>
      </c>
    </row>
    <row r="3" spans="1:3" x14ac:dyDescent="0.25">
      <c r="A3" s="14">
        <v>2024</v>
      </c>
      <c r="B3">
        <v>1.1208462493745961</v>
      </c>
      <c r="C3">
        <v>0.52849010139472197</v>
      </c>
    </row>
    <row r="4" spans="1:3" x14ac:dyDescent="0.25">
      <c r="A4" s="15">
        <v>2023</v>
      </c>
      <c r="B4">
        <v>1.1927535581011139</v>
      </c>
      <c r="C4">
        <v>0.54395239888882796</v>
      </c>
    </row>
    <row r="5" spans="1:3" x14ac:dyDescent="0.25">
      <c r="A5" s="14">
        <v>2022</v>
      </c>
      <c r="B5">
        <v>1.0685124501636387</v>
      </c>
      <c r="C5">
        <v>0.51656080198072263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balance_sheet</vt:lpstr>
      <vt:lpstr>income_statement</vt:lpstr>
      <vt:lpstr>Trends</vt:lpstr>
      <vt:lpstr>P&amp;L</vt:lpstr>
      <vt:lpstr>Balance</vt:lpstr>
      <vt:lpstr>ROEROA</vt:lpstr>
      <vt:lpstr>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 ANTONIO MORENO SANCHEZ</cp:lastModifiedBy>
  <dcterms:created xsi:type="dcterms:W3CDTF">2026-05-25T19:44:32Z</dcterms:created>
  <dcterms:modified xsi:type="dcterms:W3CDTF">2026-06-02T01:19:08Z</dcterms:modified>
</cp:coreProperties>
</file>